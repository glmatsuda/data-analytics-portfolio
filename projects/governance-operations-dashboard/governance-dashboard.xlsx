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d324d49b1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e5b19b8f52b418b"/>
    <x:sheet xmlns:r="http://schemas.openxmlformats.org/officeDocument/2006/relationships" name="Source" sheetId="2" r:id="Ra97b4f24278b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mmm yyyy"/>
  </x:numFmts>
  <x:fonts count="10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sz val="11"/>
      <x:color rgb="FF245B9E"/>
      <x:name val="Arial"/>
    </x:font>
    <x:font>
      <x:sz val="20"/>
      <x:name val="Arial"/>
    </x:font>
    <x:font>
      <x:b/>
      <x:sz val="20"/>
      <x:name val="Arial"/>
    </x:font>
    <x:font>
      <x:b/>
      <x:sz val="20"/>
      <x:color rgb="FF137E8D"/>
      <x:name val="Arial"/>
    </x:font>
    <x:font>
      <x:b/>
      <x:sz val="20"/>
      <x:color rgb="FFB465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C3C"/>
      </x:patternFill>
    </x:fill>
    <x:fill>
      <x:patternFill patternType="solid">
        <x:fgColor rgb="FF137E8D"/>
      </x:patternFill>
    </x:fill>
    <x:fill>
      <x:patternFill patternType="solid">
        <x:fgColor rgb="FFFFF2D9"/>
      </x:patternFill>
    </x:fill>
    <x:fill>
      <x:patternFill patternType="solid">
        <x:fgColor rgb="FFED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ba05fc19c4ce7" /><Relationship Type="http://schemas.openxmlformats.org/officeDocument/2006/relationships/theme" Target="/xl/theme/theme1.xml" Id="Rdb3f0a555c824090" /><Relationship Type="http://schemas.openxmlformats.org/officeDocument/2006/relationships/sharedStrings" Target="/xl/sharedStrings.xml" Id="Rc0eeb0b809754cfe" /><Relationship Type="http://schemas.openxmlformats.org/officeDocument/2006/relationships/worksheet" Target="/xl/worksheets/sheet1.xml" Id="R9e5b19b8f52b418b" /><Relationship Type="http://schemas.openxmlformats.org/officeDocument/2006/relationships/worksheet" Target="/xl/worksheets/sheet2.xml" Id="Ra97b4f24278b4e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d410c7c9a34bca" /><Relationship Type="http://schemas.openxmlformats.org/officeDocument/2006/relationships/chart" Target="/xl/drawings/charts/chart2.xml" Id="R394524d4e36d47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Requests by creation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Requests</c:v>
          </c:tx>
          <c:spPr>
            <a:ln xmlns:a="http://schemas.openxmlformats.org/drawingml/2006/main" w="19050">
              <a:solidFill>
                <a:srgbClr val="137E8D"/>
              </a:solidFill>
              <a:prstDash val="solid"/>
            </a:ln>
          </c:spPr>
          <c:marker>
            <c:symbol val="none"/>
          </c:marker>
          <c:cat>
            <c:strRef>
              <c:f>'Dashboard'!$N$7:$N$12</c:f>
              <c:strCache>
                <c:ptCount val="0"/>
              </c:strCache>
            </c:strRef>
          </c:cat>
          <c:val>
            <c:numRef>
              <c:f>'Dashboard'!$O$7:$O$12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Closed SLA rate by domain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SLA rate</c:v>
          </c:tx>
          <c:spPr>
            <a:solidFill xmlns:a="http://schemas.openxmlformats.org/drawingml/2006/main">
              <a:srgbClr val="137E8D"/>
            </a:solidFill>
          </c:spPr>
          <c:invertIfNegative val="0"/>
          <c:cat>
            <c:strRef>
              <c:f>'Dashboard'!$N$16:$N$19</c:f>
              <c:strCache>
                <c:ptCount val="0"/>
              </c:strCache>
            </c:strRef>
          </c:cat>
          <c:val>
            <c:numRef>
              <c:f>'Dashboard'!$O$16:$O$19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d410c7c9a34bca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4524d4e36d471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estsTable" displayName="RequestsTable" ref="A4:L484" headerRowCount="1" totalsRowCount="0" totalsRowShown="0">
  <x:tableColumns count="12">
    <x:tableColumn id="1" name="ticket_id"/>
    <x:tableColumn id="2" name="created_date"/>
    <x:tableColumn id="3" name="closed_date"/>
    <x:tableColumn id="4" name="domain"/>
    <x:tableColumn id="5" name="priority"/>
    <x:tableColumn id="6" name="owner_team"/>
    <x:tableColumn id="7" name="status"/>
    <x:tableColumn id="8" name="sla_days"/>
    <x:tableColumn id="9" name="age_or_cycle_days"/>
    <x:tableColumn id="10" name="closed_flag"/>
    <x:tableColumn id="11" name="on_time_flag"/>
    <x:tableColumn id="12" name="overdue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07f89a46604b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c73c69b5d4c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9" t="str">
        <x:v>Data governance operations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4" customHeight="1">
      <x:c r="A2" s="4" t="str">
        <x:v>Synthetic portfolio demo. As of June 30, 2026. Calendar-day SLA.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N2" s="4" t="str">
        <x:v>Selected population</x:v>
      </x:c>
      <x:c r="O2" s="4" t="str">
        <x:v>Closed</x:v>
      </x:c>
      <x:c r="P2" s="4" t="str">
        <x:v>On time</x:v>
      </x:c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N3" s="4" t="str">
        <x:f>$C$4</x:f>
        <x:v>All</x:v>
      </x:c>
      <x:c r="O3" s="4" t="n">
        <x:f>IF($C$4="All",SUM(Source!$J$5:$J$484),SUMIF(Source!$D$5:$D$484,$C$4,Source!$J$5:$J$484))</x:f>
        <x:v>378</x:v>
      </x:c>
      <x:c r="P3" s="4" t="n">
        <x:f>IF($C$4="All",SUM(Source!$K$5:$K$484),SUMIF(Source!$D$5:$D$484,$C$4,Source!$K$5:$K$484))</x:f>
        <x:v>132</x:v>
      </x:c>
    </x:row>
    <x:row r="4" ht="24" customHeight="1">
      <x:c r="A4" s="4" t="str">
        <x:v>Select domain</x:v>
      </x:c>
      <x:c r="B4" s="4"/>
      <x:c r="C4" s="14" t="str">
        <x:v>All</x:v>
      </x:c>
      <x:c r="D4" s="14"/>
      <x:c r="E4" s="4"/>
      <x:c r="F4" s="4" t="str">
        <x:v>Select All to restore the complete snapshot.</x:v>
      </x:c>
      <x:c r="G4" s="4"/>
      <x:c r="H4" s="4"/>
      <x:c r="I4" s="4"/>
      <x:c r="J4" s="4"/>
      <x:c r="K4" s="4"/>
      <x:c r="L4" s="4"/>
    </x:row>
    <x:row r="5" ht="24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24" customHeight="1">
      <x:c r="A6" s="15" t="str">
        <x:v>Requests</x:v>
      </x:c>
      <x:c r="B6" s="15"/>
      <x:c r="C6" s="15"/>
      <x:c r="D6" s="15" t="str">
        <x:v>Closed SLA rate</x:v>
      </x:c>
      <x:c r="E6" s="15"/>
      <x:c r="F6" s="15"/>
      <x:c r="G6" s="15" t="str">
        <x:v>Open requests</x:v>
      </x:c>
      <x:c r="H6" s="15"/>
      <x:c r="I6" s="15"/>
      <x:c r="J6" s="15" t="str">
        <x:v>Overdue open</x:v>
      </x:c>
      <x:c r="K6" s="15"/>
      <x:c r="L6" s="15"/>
      <x:c r="N6" s="4" t="str">
        <x:v>Month</x:v>
      </x:c>
      <x:c r="O6" s="4" t="str">
        <x:v>Requests</x:v>
      </x:c>
    </x:row>
    <x:row r="7" ht="24" customHeight="1">
      <x:c r="A7" s="18" t="n">
        <x:f>IF($C$4="All",COUNTA(Source!$A$5:$A$484),COUNTIF(Source!$D$5:$D$484,$C$4))</x:f>
        <x:v>480</x:v>
      </x:c>
      <x:c r="B7" s="18"/>
      <x:c r="C7" s="18"/>
      <x:c r="D7" s="19" t="n">
        <x:f>IF(O3=0,"n.a.",P3/O3)</x:f>
        <x:v>0.3492063492063492</x:v>
      </x:c>
      <x:c r="E7" s="18"/>
      <x:c r="F7" s="18"/>
      <x:c r="G7" s="18" t="n">
        <x:f>A7-O3</x:f>
        <x:v>102</x:v>
      </x:c>
      <x:c r="H7" s="18"/>
      <x:c r="I7" s="18"/>
      <x:c r="J7" s="20" t="n">
        <x:f>IF($C$4="All",SUM(Source!$L$5:$L$484),SUMIF(Source!$D$5:$D$484,$C$4,Source!$L$5:$L$484))</x:f>
        <x:v>82</x:v>
      </x:c>
      <x:c r="K7" s="18"/>
      <x:c r="L7" s="18"/>
      <x:c r="N7" s="4" t="str">
        <x:v>Jan</x:v>
      </x:c>
      <x:c r="O7" s="4" t="n">
        <x:f>I33</x:f>
        <x:v>80</x:v>
      </x:c>
    </x:row>
    <x:row r="8" ht="2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N8" s="4" t="str">
        <x:v>Feb</x:v>
      </x:c>
      <x:c r="O8" s="4" t="n">
        <x:f>I34</x:f>
        <x:v>79</x:v>
      </x:c>
    </x:row>
    <x:row r="9" ht="24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N9" s="4" t="str">
        <x:v>Mar</x:v>
      </x:c>
      <x:c r="O9" s="4" t="n">
        <x:f>I35</x:f>
        <x:v>78</x:v>
      </x:c>
    </x:row>
    <x:row r="10" ht="24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N10" s="4" t="str">
        <x:v>Apr</x:v>
      </x:c>
      <x:c r="O10" s="4" t="n">
        <x:f>I36</x:f>
        <x:v>66</x:v>
      </x:c>
    </x:row>
    <x:row r="11" ht="24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N11" s="4" t="str">
        <x:v>May</x:v>
      </x:c>
      <x:c r="O11" s="4" t="n">
        <x:f>I37</x:f>
        <x:v>96</x:v>
      </x:c>
    </x:row>
    <x:row r="12" ht="24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N12" s="4" t="str">
        <x:v>Jun</x:v>
      </x:c>
      <x:c r="O12" s="4" t="n">
        <x:f>I38</x:f>
        <x:v>81</x:v>
      </x:c>
    </x:row>
    <x:row r="13" ht="24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24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24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N15" t="str">
        <x:v>Domain</x:v>
      </x:c>
      <x:c r="O15" t="str">
        <x:v>SLA rate</x:v>
      </x:c>
    </x:row>
    <x:row r="16" ht="24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N16" t="str">
        <x:v>Customer</x:v>
      </x:c>
      <x:c r="O16" s="23" t="n">
        <x:f>D30</x:f>
        <x:v>0.40425531914893614</x:v>
      </x:c>
    </x:row>
    <x:row r="17" ht="24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N17" t="str">
        <x:v>Finance</x:v>
      </x:c>
      <x:c r="O17" s="23" t="n">
        <x:f>D31</x:f>
        <x:v>0.3977272727272727</x:v>
      </x:c>
    </x:row>
    <x:row r="18" ht="24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N18" t="str">
        <x:v>Product</x:v>
      </x:c>
      <x:c r="O18" s="23" t="n">
        <x:f>D32</x:f>
        <x:v>0.38613861386138615</x:v>
      </x:c>
    </x:row>
    <x:row r="19" ht="24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N19" t="str">
        <x:v>Supplier</x:v>
      </x:c>
      <x:c r="O19" s="23" t="n">
        <x:f>D33</x:f>
        <x:v>0.21052631578947367</x:v>
      </x:c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24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24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24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24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24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24" customHeight="1">
      <x:c r="A28" s="4" t="str">
        <x:v>Domain charts and table show all requests. Cards and monthly trend follow the domain selector.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40" customHeight="1">
      <x:c r="A29" s="24" t="str">
        <x:v>Domain</x:v>
      </x:c>
      <x:c r="B29" s="24" t="str">
        <x:v>Closed</x:v>
      </x:c>
      <x:c r="C29" s="24" t="str">
        <x:v>On time</x:v>
      </x:c>
      <x:c r="D29" s="24" t="str">
        <x:v>SLA rate</x:v>
      </x:c>
      <x:c r="E29" s="24" t="str">
        <x:v>Overdue open</x:v>
      </x:c>
      <x:c r="F29" s="24" t="str">
        <x:v>Requests</x:v>
      </x:c>
      <x:c r="G29" s="4"/>
      <x:c r="H29" s="4"/>
      <x:c r="I29" s="4"/>
      <x:c r="J29" s="4"/>
      <x:c r="K29" s="4"/>
      <x:c r="L29" s="4"/>
    </x:row>
    <x:row r="30" ht="24" customHeight="1">
      <x:c r="A30" s="4" t="str">
        <x:v>Customer</x:v>
      </x:c>
      <x:c r="B30" s="4" t="n">
        <x:f>SUMIF(Source!$D$5:$D$484,A30,Source!$J$5:$J$484)</x:f>
        <x:v>94</x:v>
      </x:c>
      <x:c r="C30" s="4" t="n">
        <x:f>SUMIF(Source!$D$5:$D$484,A30,Source!$K$5:$K$484)</x:f>
        <x:v>38</x:v>
      </x:c>
      <x:c r="D30" s="21" t="n">
        <x:f>IF(B30=0,"n.a.",C30/B30)</x:f>
        <x:v>0.40425531914893614</x:v>
      </x:c>
      <x:c r="E30" s="4" t="n">
        <x:f>SUMIF(Source!$D$5:$D$484,A30,Source!$L$5:$L$484)</x:f>
        <x:v>25</x:v>
      </x:c>
      <x:c r="F30" s="4" t="n">
        <x:f>COUNTIF(Source!$D$5:$D$484,A30)</x:f>
        <x:v>123</x:v>
      </x:c>
      <x:c r="G30" s="4"/>
      <x:c r="H30" s="4"/>
      <x:c r="I30" s="4"/>
      <x:c r="J30" s="4"/>
      <x:c r="K30" s="4"/>
      <x:c r="L30" s="4"/>
    </x:row>
    <x:row r="31" ht="24" customHeight="1">
      <x:c r="A31" s="4" t="str">
        <x:v>Finance</x:v>
      </x:c>
      <x:c r="B31" s="4" t="n">
        <x:f>SUMIF(Source!$D$5:$D$484,A31,Source!$J$5:$J$484)</x:f>
        <x:v>88</x:v>
      </x:c>
      <x:c r="C31" s="4" t="n">
        <x:f>SUMIF(Source!$D$5:$D$484,A31,Source!$K$5:$K$484)</x:f>
        <x:v>35</x:v>
      </x:c>
      <x:c r="D31" s="21" t="n">
        <x:f>IF(B31=0,"n.a.",C31/B31)</x:f>
        <x:v>0.3977272727272727</x:v>
      </x:c>
      <x:c r="E31" s="4" t="n">
        <x:f>SUMIF(Source!$D$5:$D$484,A31,Source!$L$5:$L$484)</x:f>
        <x:v>17</x:v>
      </x:c>
      <x:c r="F31" s="4" t="n">
        <x:f>COUNTIF(Source!$D$5:$D$484,A31)</x:f>
        <x:v>109</x:v>
      </x:c>
      <x:c r="G31" s="4"/>
      <x:c r="H31" s="4"/>
      <x:c r="I31" s="4"/>
      <x:c r="J31" s="4"/>
      <x:c r="K31" s="4"/>
      <x:c r="L31" s="4"/>
    </x:row>
    <x:row r="32" ht="24" customHeight="1">
      <x:c r="A32" s="4" t="str">
        <x:v>Product</x:v>
      </x:c>
      <x:c r="B32" s="4" t="n">
        <x:f>SUMIF(Source!$D$5:$D$484,A32,Source!$J$5:$J$484)</x:f>
        <x:v>101</x:v>
      </x:c>
      <x:c r="C32" s="4" t="n">
        <x:f>SUMIF(Source!$D$5:$D$484,A32,Source!$K$5:$K$484)</x:f>
        <x:v>39</x:v>
      </x:c>
      <x:c r="D32" s="21" t="n">
        <x:f>IF(B32=0,"n.a.",C32/B32)</x:f>
        <x:v>0.38613861386138615</x:v>
      </x:c>
      <x:c r="E32" s="4" t="n">
        <x:f>SUMIF(Source!$D$5:$D$484,A32,Source!$L$5:$L$484)</x:f>
        <x:v>19</x:v>
      </x:c>
      <x:c r="F32" s="4" t="n">
        <x:f>COUNTIF(Source!$D$5:$D$484,A32)</x:f>
        <x:v>125</x:v>
      </x:c>
      <x:c r="G32" s="4"/>
      <x:c r="H32" s="4" t="str">
        <x:v>Created month</x:v>
      </x:c>
      <x:c r="I32" s="4" t="str">
        <x:v>Requests</x:v>
      </x:c>
      <x:c r="J32" s="4"/>
      <x:c r="K32" s="4"/>
      <x:c r="L32" s="4"/>
    </x:row>
    <x:row r="33" ht="24" customHeight="1">
      <x:c r="A33" s="4" t="str">
        <x:v>Supplier</x:v>
      </x:c>
      <x:c r="B33" s="4" t="n">
        <x:f>SUMIF(Source!$D$5:$D$484,A33,Source!$J$5:$J$484)</x:f>
        <x:v>95</x:v>
      </x:c>
      <x:c r="C33" s="4" t="n">
        <x:f>SUMIF(Source!$D$5:$D$484,A33,Source!$K$5:$K$484)</x:f>
        <x:v>20</x:v>
      </x:c>
      <x:c r="D33" s="21" t="n">
        <x:f>IF(B33=0,"n.a.",C33/B33)</x:f>
        <x:v>0.21052631578947367</x:v>
      </x:c>
      <x:c r="E33" s="4" t="n">
        <x:f>SUMIF(Source!$D$5:$D$484,A33,Source!$L$5:$L$484)</x:f>
        <x:v>21</x:v>
      </x:c>
      <x:c r="F33" s="4" t="n">
        <x:f>COUNTIF(Source!$D$5:$D$484,A33)</x:f>
        <x:v>123</x:v>
      </x:c>
      <x:c r="G33" s="4"/>
      <x:c r="H33" s="22" t="d">
        <x:v>2026-01-01T00:00:00.000Z</x:v>
      </x:c>
      <x:c r="I33" s="4" t="n">
        <x:f>IF($C$4="All",COUNTIFS(Source!$B$5:$B$484,"&gt;="&amp;H33,Source!$B$5:$B$484,"&lt;"&amp;DATE(YEAR(H33),MONTH(H33)+1,1)),COUNTIFS(Source!$B$5:$B$484,"&gt;="&amp;H33,Source!$B$5:$B$484,"&lt;"&amp;DATE(YEAR(H33),MONTH(H33)+1,1),Source!$D$5:$D$484,$C$4))</x:f>
        <x:v>80</x:v>
      </x:c>
      <x:c r="J33" s="4"/>
      <x:c r="K33" s="4"/>
      <x:c r="L33" s="4"/>
    </x:row>
    <x:row r="34" ht="24" customHeight="1">
      <x:c r="A34" s="4"/>
      <x:c r="B34" s="4"/>
      <x:c r="C34" s="4"/>
      <x:c r="D34" s="4"/>
      <x:c r="E34" s="4"/>
      <x:c r="F34" s="4"/>
      <x:c r="G34" s="4"/>
      <x:c r="H34" s="22" t="d">
        <x:v>2026-02-01T00:00:00.000Z</x:v>
      </x:c>
      <x:c r="I34" s="4" t="n">
        <x:f>IF($C$4="All",COUNTIFS(Source!$B$5:$B$484,"&gt;="&amp;H34,Source!$B$5:$B$484,"&lt;"&amp;DATE(YEAR(H34),MONTH(H34)+1,1)),COUNTIFS(Source!$B$5:$B$484,"&gt;="&amp;H34,Source!$B$5:$B$484,"&lt;"&amp;DATE(YEAR(H34),MONTH(H34)+1,1),Source!$D$5:$D$484,$C$4))</x:f>
        <x:v>79</x:v>
      </x:c>
      <x:c r="J34" s="4"/>
      <x:c r="K34" s="4"/>
      <x:c r="L34" s="4"/>
    </x:row>
    <x:row r="35" ht="24" customHeight="1">
      <x:c r="A35" s="4"/>
      <x:c r="B35" s="4"/>
      <x:c r="C35" s="4"/>
      <x:c r="D35" s="4"/>
      <x:c r="E35" s="4"/>
      <x:c r="F35" s="4"/>
      <x:c r="G35" s="4"/>
      <x:c r="H35" s="22" t="d">
        <x:v>2026-03-01T00:00:00.000Z</x:v>
      </x:c>
      <x:c r="I35" s="4" t="n">
        <x:f>IF($C$4="All",COUNTIFS(Source!$B$5:$B$484,"&gt;="&amp;H35,Source!$B$5:$B$484,"&lt;"&amp;DATE(YEAR(H35),MONTH(H35)+1,1)),COUNTIFS(Source!$B$5:$B$484,"&gt;="&amp;H35,Source!$B$5:$B$484,"&lt;"&amp;DATE(YEAR(H35),MONTH(H35)+1,1),Source!$D$5:$D$484,$C$4))</x:f>
        <x:v>78</x:v>
      </x:c>
      <x:c r="J35" s="4"/>
      <x:c r="K35" s="4"/>
      <x:c r="L35" s="4"/>
    </x:row>
    <x:row r="36" ht="24" customHeight="1">
      <x:c r="A36" s="4"/>
      <x:c r="B36" s="4"/>
      <x:c r="C36" s="4"/>
      <x:c r="D36" s="4"/>
      <x:c r="E36" s="4"/>
      <x:c r="F36" s="4"/>
      <x:c r="G36" s="4"/>
      <x:c r="H36" s="22" t="d">
        <x:v>2026-04-01T00:00:00.000Z</x:v>
      </x:c>
      <x:c r="I36" s="4" t="n">
        <x:f>IF($C$4="All",COUNTIFS(Source!$B$5:$B$484,"&gt;="&amp;H36,Source!$B$5:$B$484,"&lt;"&amp;DATE(YEAR(H36),MONTH(H36)+1,1)),COUNTIFS(Source!$B$5:$B$484,"&gt;="&amp;H36,Source!$B$5:$B$484,"&lt;"&amp;DATE(YEAR(H36),MONTH(H36)+1,1),Source!$D$5:$D$484,$C$4))</x:f>
        <x:v>66</x:v>
      </x:c>
      <x:c r="J36" s="4"/>
      <x:c r="K36" s="4"/>
      <x:c r="L36" s="4"/>
    </x:row>
    <x:row r="37" ht="24" customHeight="1">
      <x:c r="A37" s="4"/>
      <x:c r="B37" s="4"/>
      <x:c r="C37" s="4"/>
      <x:c r="D37" s="4"/>
      <x:c r="E37" s="4"/>
      <x:c r="F37" s="4"/>
      <x:c r="G37" s="4"/>
      <x:c r="H37" s="22" t="d">
        <x:v>2026-05-01T00:00:00.000Z</x:v>
      </x:c>
      <x:c r="I37" s="4" t="n">
        <x:f>IF($C$4="All",COUNTIFS(Source!$B$5:$B$484,"&gt;="&amp;H37,Source!$B$5:$B$484,"&lt;"&amp;DATE(YEAR(H37),MONTH(H37)+1,1)),COUNTIFS(Source!$B$5:$B$484,"&gt;="&amp;H37,Source!$B$5:$B$484,"&lt;"&amp;DATE(YEAR(H37),MONTH(H37)+1,1),Source!$D$5:$D$484,$C$4))</x:f>
        <x:v>96</x:v>
      </x:c>
      <x:c r="J37" s="4"/>
      <x:c r="K37" s="4"/>
      <x:c r="L37" s="4"/>
    </x:row>
    <x:row r="38" ht="24" customHeight="1">
      <x:c r="A38" s="4"/>
      <x:c r="B38" s="4"/>
      <x:c r="C38" s="4"/>
      <x:c r="D38" s="4"/>
      <x:c r="E38" s="4"/>
      <x:c r="F38" s="4"/>
      <x:c r="G38" s="4"/>
      <x:c r="H38" s="22" t="d">
        <x:v>2026-06-01T00:00:00.000Z</x:v>
      </x:c>
      <x:c r="I38" s="4" t="n">
        <x:f>IF($C$4="All",COUNTIFS(Source!$B$5:$B$484,"&gt;="&amp;H38,Source!$B$5:$B$484,"&lt;"&amp;DATE(YEAR(H38),MONTH(H38)+1,1)),COUNTIFS(Source!$B$5:$B$484,"&gt;="&amp;H38,Source!$B$5:$B$484,"&lt;"&amp;DATE(YEAR(H38),MONTH(H38)+1,1),Source!$D$5:$D$484,$C$4))</x:f>
        <x:v>81</x:v>
      </x:c>
      <x:c r="J38" s="4"/>
      <x:c r="K38" s="4"/>
      <x:c r="L38" s="4"/>
    </x:row>
    <x:row r="39" ht="24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 ht="24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 ht="24" customHeight="1">
      <x:c r="A41" s="4" t="str">
        <x:v>SLA rate = on-time closed / closed. Overdue open = open requests older than their SLA.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24" customHeight="1">
      <x:c r="A42" s="4" t="str">
        <x:v>High: 3 days. Medium: 7 days. Low: 14 days. Closed exactly at the threshold is on time.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24" customHeight="1">
      <x:c r="A43" s="4" t="str">
        <x:v>Source edits update formulas. Keep 480 rows; extend bounded ranges before adding more requests.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24" customHeight="1">
      <x:c r="A44" s="4" t="str">
        <x:v>Blank SLA rate displays n.a. when no requests are closed. Trend groups by creation month.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24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24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24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24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24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24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</x:sheetData>
  <x:mergeCells>
    <x:mergeCell ref="A1:L1"/>
    <x:mergeCell ref="A2:L2"/>
    <x:mergeCell ref="A4:B4"/>
    <x:mergeCell ref="C4:D4"/>
    <x:mergeCell ref="F4:L4"/>
    <x:mergeCell ref="A6:C6"/>
    <x:mergeCell ref="A7:C8"/>
    <x:mergeCell ref="D6:F6"/>
    <x:mergeCell ref="D7:F8"/>
    <x:mergeCell ref="G6:I6"/>
    <x:mergeCell ref="G7:I8"/>
    <x:mergeCell ref="J6:L6"/>
    <x:mergeCell ref="J7:L8"/>
    <x:mergeCell ref="A28:L28"/>
    <x:mergeCell ref="A41:L41"/>
    <x:mergeCell ref="A42:L42"/>
    <x:mergeCell ref="A43:L43"/>
    <x:mergeCell ref="A44:L44"/>
  </x:mergeCells>
  <x:dataValidations count="1">
    <x:dataValidation type="list" sqref="C4">
      <x:formula1>"All,Customer,Finance,Product,Supplier"</x:formula1>
    </x:dataValidation>
  </x:dataValidations>
  <x:pageMargins left="0.7" right="0.7" top="0.75" bottom="0.75" header="0.3" footer="0.3"/>
  <x:drawing xmlns:r="http://schemas.openxmlformats.org/officeDocument/2006/relationships" r:id="R8c07f89a46604b7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9" t="str">
        <x:v>Synthetic governance requests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4" customHeight="1">
      <x:c r="A2" s="4" t="str">
        <x:v>Source: deterministic synthetic fixture, seed 73. Reporting cutoff 2026-06-30.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8" customHeight="1">
      <x:c r="A4" s="12" t="str">
        <x:v>ticket_id</x:v>
      </x:c>
      <x:c r="B4" s="12" t="str">
        <x:v>created_date</x:v>
      </x:c>
      <x:c r="C4" s="12" t="str">
        <x:v>closed_date</x:v>
      </x:c>
      <x:c r="D4" s="12" t="str">
        <x:v>domain</x:v>
      </x:c>
      <x:c r="E4" s="12" t="str">
        <x:v>priority</x:v>
      </x:c>
      <x:c r="F4" s="12" t="str">
        <x:v>owner_team</x:v>
      </x:c>
      <x:c r="G4" s="12" t="str">
        <x:v>status</x:v>
      </x:c>
      <x:c r="H4" s="12" t="str">
        <x:v>sla_days</x:v>
      </x:c>
      <x:c r="I4" s="12" t="str">
        <x:v>age_or_cycle_days</x:v>
      </x:c>
      <x:c r="J4" s="12" t="str">
        <x:v>closed_flag</x:v>
      </x:c>
      <x:c r="K4" s="12" t="str">
        <x:v>on_time_flag</x:v>
      </x:c>
      <x:c r="L4" s="12" t="str">
        <x:v>overdue_flag</x:v>
      </x:c>
    </x:row>
    <x:row r="5" ht="24" customHeight="1">
      <x:c r="A5" s="4" t="str">
        <x:v>GOV-0001</x:v>
      </x:c>
      <x:c r="B5" s="5" t="d">
        <x:v>2026-03-13T00:00:00.000Z</x:v>
      </x:c>
      <x:c r="C5" s="5" t="d">
        <x:v>2026-04-01T00:00:00.000Z</x:v>
      </x:c>
      <x:c r="D5" s="4" t="str">
        <x:v>Customer</x:v>
      </x:c>
      <x:c r="E5" s="4" t="str">
        <x:v>Medium</x:v>
      </x:c>
      <x:c r="F5" s="4" t="str">
        <x:v>CRM stewardship</x:v>
      </x:c>
      <x:c r="G5" s="4" t="str">
        <x:v>Closed</x:v>
      </x:c>
      <x:c r="H5" s="4" t="n">
        <x:v>7</x:v>
      </x:c>
      <x:c r="I5" s="4" t="n">
        <x:v>19</x:v>
      </x:c>
      <x:c r="J5" s="4" t="n">
        <x:v>1</x:v>
      </x:c>
      <x:c r="K5" s="4" t="n">
        <x:v>0</x:v>
      </x:c>
      <x:c r="L5" s="4" t="n">
        <x:v>0</x:v>
      </x:c>
    </x:row>
    <x:row r="6" ht="24" customHeight="1">
      <x:c r="A6" s="4" t="str">
        <x:v>GOV-0002</x:v>
      </x:c>
      <x:c r="B6" s="5" t="d">
        <x:v>2026-03-18T00:00:00.000Z</x:v>
      </x:c>
      <x:c r="C6" s="5" t="d">
        <x:v>2026-04-04T00:00:00.000Z</x:v>
      </x:c>
      <x:c r="D6" s="4" t="str">
        <x:v>Customer</x:v>
      </x:c>
      <x:c r="E6" s="4" t="str">
        <x:v>Medium</x:v>
      </x:c>
      <x:c r="F6" s="4" t="str">
        <x:v>CRM stewardship</x:v>
      </x:c>
      <x:c r="G6" s="4" t="str">
        <x:v>Closed</x:v>
      </x:c>
      <x:c r="H6" s="4" t="n">
        <x:v>7</x:v>
      </x:c>
      <x:c r="I6" s="4" t="n">
        <x:v>17</x:v>
      </x:c>
      <x:c r="J6" s="4" t="n">
        <x:v>1</x:v>
      </x:c>
      <x:c r="K6" s="4" t="n">
        <x:v>0</x:v>
      </x:c>
      <x:c r="L6" s="4" t="n">
        <x:v>0</x:v>
      </x:c>
    </x:row>
    <x:row r="7" ht="24" customHeight="1">
      <x:c r="A7" s="4" t="str">
        <x:v>GOV-0003</x:v>
      </x:c>
      <x:c r="B7" s="5" t="d">
        <x:v>2026-04-26T00:00:00.000Z</x:v>
      </x:c>
      <x:c r="C7" s="5" t="d">
        <x:v>2026-05-10T00:00:00.000Z</x:v>
      </x:c>
      <x:c r="D7" s="4" t="str">
        <x:v>Customer</x:v>
      </x:c>
      <x:c r="E7" s="4" t="str">
        <x:v>High</x:v>
      </x:c>
      <x:c r="F7" s="4" t="str">
        <x:v>CRM stewardship</x:v>
      </x:c>
      <x:c r="G7" s="4" t="str">
        <x:v>Closed</x:v>
      </x:c>
      <x:c r="H7" s="4" t="n">
        <x:v>3</x:v>
      </x:c>
      <x:c r="I7" s="4" t="n">
        <x:v>14</x:v>
      </x:c>
      <x:c r="J7" s="4" t="n">
        <x:v>1</x:v>
      </x:c>
      <x:c r="K7" s="4" t="n">
        <x:v>0</x:v>
      </x:c>
      <x:c r="L7" s="4" t="n">
        <x:v>0</x:v>
      </x:c>
    </x:row>
    <x:row r="8" ht="24" customHeight="1">
      <x:c r="A8" s="4" t="str">
        <x:v>GOV-0004</x:v>
      </x:c>
      <x:c r="B8" s="5" t="d">
        <x:v>2026-01-07T00:00:00.000Z</x:v>
      </x:c>
      <x:c r="C8" s="5" t="d">
        <x:v>2026-01-24T00:00:00.000Z</x:v>
      </x:c>
      <x:c r="D8" s="4" t="str">
        <x:v>Supplier</x:v>
      </x:c>
      <x:c r="E8" s="4" t="str">
        <x:v>Medium</x:v>
      </x:c>
      <x:c r="F8" s="4" t="str">
        <x:v>Procurement data</x:v>
      </x:c>
      <x:c r="G8" s="4" t="str">
        <x:v>Closed</x:v>
      </x:c>
      <x:c r="H8" s="4" t="n">
        <x:v>7</x:v>
      </x:c>
      <x:c r="I8" s="4" t="n">
        <x:v>17</x:v>
      </x:c>
      <x:c r="J8" s="4" t="n">
        <x:v>1</x:v>
      </x:c>
      <x:c r="K8" s="4" t="n">
        <x:v>0</x:v>
      </x:c>
      <x:c r="L8" s="4" t="n">
        <x:v>0</x:v>
      </x:c>
    </x:row>
    <x:row r="9" ht="24" customHeight="1">
      <x:c r="A9" s="4" t="str">
        <x:v>GOV-0005</x:v>
      </x:c>
      <x:c r="B9" s="5" t="d">
        <x:v>2026-04-21T00:00:00.000Z</x:v>
      </x:c>
      <x:c r="C9" s="5" t="d">
        <x:v>2026-04-30T00:00:00.000Z</x:v>
      </x:c>
      <x:c r="D9" s="4" t="str">
        <x:v>Finance</x:v>
      </x:c>
      <x:c r="E9" s="4" t="str">
        <x:v>Low</x:v>
      </x:c>
      <x:c r="F9" s="4" t="str">
        <x:v>Finance data</x:v>
      </x:c>
      <x:c r="G9" s="4" t="str">
        <x:v>Closed</x:v>
      </x:c>
      <x:c r="H9" s="4" t="n">
        <x:v>14</x:v>
      </x:c>
      <x:c r="I9" s="4" t="n">
        <x:v>9</x:v>
      </x:c>
      <x:c r="J9" s="4" t="n">
        <x:v>1</x:v>
      </x:c>
      <x:c r="K9" s="4" t="n">
        <x:v>1</x:v>
      </x:c>
      <x:c r="L9" s="4" t="n">
        <x:v>0</x:v>
      </x:c>
    </x:row>
    <x:row r="10" ht="24" customHeight="1">
      <x:c r="A10" s="4" t="str">
        <x:v>GOV-0006</x:v>
      </x:c>
      <x:c r="B10" s="5" t="d">
        <x:v>2026-02-21T00:00:00.000Z</x:v>
      </x:c>
      <x:c r="C10" s="5" t="d">
        <x:v>2026-03-05T00:00:00.000Z</x:v>
      </x:c>
      <x:c r="D10" s="4" t="str">
        <x:v>Customer</x:v>
      </x:c>
      <x:c r="E10" s="4" t="str">
        <x:v>Medium</x:v>
      </x:c>
      <x:c r="F10" s="4" t="str">
        <x:v>CRM stewardship</x:v>
      </x:c>
      <x:c r="G10" s="4" t="str">
        <x:v>Closed</x:v>
      </x:c>
      <x:c r="H10" s="4" t="n">
        <x:v>7</x:v>
      </x:c>
      <x:c r="I10" s="4" t="n">
        <x:v>12</x:v>
      </x:c>
      <x:c r="J10" s="4" t="n">
        <x:v>1</x:v>
      </x:c>
      <x:c r="K10" s="4" t="n">
        <x:v>0</x:v>
      </x:c>
      <x:c r="L10" s="4" t="n">
        <x:v>0</x:v>
      </x:c>
    </x:row>
    <x:row r="11" ht="24" customHeight="1">
      <x:c r="A11" s="4" t="str">
        <x:v>GOV-0007</x:v>
      </x:c>
      <x:c r="B11" s="5" t="d">
        <x:v>2026-02-03T00:00:00.000Z</x:v>
      </x:c>
      <x:c r="C11" s="5" t="d">
        <x:v>2026-02-12T00:00:00.000Z</x:v>
      </x:c>
      <x:c r="D11" s="4" t="str">
        <x:v>Finance</x:v>
      </x:c>
      <x:c r="E11" s="4" t="str">
        <x:v>High</x:v>
      </x:c>
      <x:c r="F11" s="4" t="str">
        <x:v>Finance data</x:v>
      </x:c>
      <x:c r="G11" s="4" t="str">
        <x:v>Closed</x:v>
      </x:c>
      <x:c r="H11" s="4" t="n">
        <x:v>3</x:v>
      </x:c>
      <x:c r="I11" s="4" t="n">
        <x:v>9</x:v>
      </x:c>
      <x:c r="J11" s="4" t="n">
        <x:v>1</x:v>
      </x:c>
      <x:c r="K11" s="4" t="n">
        <x:v>0</x:v>
      </x:c>
      <x:c r="L11" s="4" t="n">
        <x:v>0</x:v>
      </x:c>
    </x:row>
    <x:row r="12" ht="24" customHeight="1">
      <x:c r="A12" s="4" t="str">
        <x:v>GOV-0008</x:v>
      </x:c>
      <x:c r="B12" s="5" t="d">
        <x:v>2026-01-13T00:00:00.000Z</x:v>
      </x:c>
      <x:c r="C12" s="5" t="d">
        <x:v>2026-02-02T00:00:00.000Z</x:v>
      </x:c>
      <x:c r="D12" s="4" t="str">
        <x:v>Finance</x:v>
      </x:c>
      <x:c r="E12" s="4" t="str">
        <x:v>Medium</x:v>
      </x:c>
      <x:c r="F12" s="4" t="str">
        <x:v>Finance data</x:v>
      </x:c>
      <x:c r="G12" s="4" t="str">
        <x:v>Closed</x:v>
      </x:c>
      <x:c r="H12" s="4" t="n">
        <x:v>7</x:v>
      </x:c>
      <x:c r="I12" s="4" t="n">
        <x:v>20</x:v>
      </x:c>
      <x:c r="J12" s="4" t="n">
        <x:v>1</x:v>
      </x:c>
      <x:c r="K12" s="4" t="n">
        <x:v>0</x:v>
      </x:c>
      <x:c r="L12" s="4" t="n">
        <x:v>0</x:v>
      </x:c>
    </x:row>
    <x:row r="13" ht="24" customHeight="1">
      <x:c r="A13" s="4" t="str">
        <x:v>GOV-0009</x:v>
      </x:c>
      <x:c r="B13" s="5" t="d">
        <x:v>2026-01-22T00:00:00.000Z</x:v>
      </x:c>
      <x:c r="C13" s="5"/>
      <x:c r="D13" s="4" t="str">
        <x:v>Customer</x:v>
      </x:c>
      <x:c r="E13" s="4" t="str">
        <x:v>Medium</x:v>
      </x:c>
      <x:c r="F13" s="4" t="str">
        <x:v>CRM stewardship</x:v>
      </x:c>
      <x:c r="G13" s="4" t="str">
        <x:v>Open</x:v>
      </x:c>
      <x:c r="H13" s="4" t="n">
        <x:v>7</x:v>
      </x:c>
      <x:c r="I13" s="4" t="n">
        <x:v>159</x:v>
      </x:c>
      <x:c r="J13" s="4" t="n">
        <x:v>0</x:v>
      </x:c>
      <x:c r="K13" s="4" t="n">
        <x:v>0</x:v>
      </x:c>
      <x:c r="L13" s="4" t="n">
        <x:v>1</x:v>
      </x:c>
    </x:row>
    <x:row r="14" ht="24" customHeight="1">
      <x:c r="A14" s="4" t="str">
        <x:v>GOV-0010</x:v>
      </x:c>
      <x:c r="B14" s="5" t="d">
        <x:v>2026-02-06T00:00:00.000Z</x:v>
      </x:c>
      <x:c r="C14" s="5" t="d">
        <x:v>2026-02-25T00:00:00.000Z</x:v>
      </x:c>
      <x:c r="D14" s="4" t="str">
        <x:v>Supplier</x:v>
      </x:c>
      <x:c r="E14" s="4" t="str">
        <x:v>Medium</x:v>
      </x:c>
      <x:c r="F14" s="4" t="str">
        <x:v>Procurement data</x:v>
      </x:c>
      <x:c r="G14" s="4" t="str">
        <x:v>Closed</x:v>
      </x:c>
      <x:c r="H14" s="4" t="n">
        <x:v>7</x:v>
      </x:c>
      <x:c r="I14" s="4" t="n">
        <x:v>19</x:v>
      </x:c>
      <x:c r="J14" s="4" t="n">
        <x:v>1</x:v>
      </x:c>
      <x:c r="K14" s="4" t="n">
        <x:v>0</x:v>
      </x:c>
      <x:c r="L14" s="4" t="n">
        <x:v>0</x:v>
      </x:c>
    </x:row>
    <x:row r="15" ht="24" customHeight="1">
      <x:c r="A15" s="4" t="str">
        <x:v>GOV-0011</x:v>
      </x:c>
      <x:c r="B15" s="5" t="d">
        <x:v>2026-05-24T00:00:00.000Z</x:v>
      </x:c>
      <x:c r="C15" s="5" t="d">
        <x:v>2026-06-03T00:00:00.000Z</x:v>
      </x:c>
      <x:c r="D15" s="4" t="str">
        <x:v>Finance</x:v>
      </x:c>
      <x:c r="E15" s="4" t="str">
        <x:v>Medium</x:v>
      </x:c>
      <x:c r="F15" s="4" t="str">
        <x:v>Finance data</x:v>
      </x:c>
      <x:c r="G15" s="4" t="str">
        <x:v>Closed</x:v>
      </x:c>
      <x:c r="H15" s="4" t="n">
        <x:v>7</x:v>
      </x:c>
      <x:c r="I15" s="4" t="n">
        <x:v>10</x:v>
      </x:c>
      <x:c r="J15" s="4" t="n">
        <x:v>1</x:v>
      </x:c>
      <x:c r="K15" s="4" t="n">
        <x:v>0</x:v>
      </x:c>
      <x:c r="L15" s="4" t="n">
        <x:v>0</x:v>
      </x:c>
    </x:row>
    <x:row r="16" ht="24" customHeight="1">
      <x:c r="A16" s="4" t="str">
        <x:v>GOV-0012</x:v>
      </x:c>
      <x:c r="B16" s="5" t="d">
        <x:v>2026-04-15T00:00:00.000Z</x:v>
      </x:c>
      <x:c r="C16" s="5" t="d">
        <x:v>2026-04-28T00:00:00.000Z</x:v>
      </x:c>
      <x:c r="D16" s="4" t="str">
        <x:v>Customer</x:v>
      </x:c>
      <x:c r="E16" s="4" t="str">
        <x:v>Low</x:v>
      </x:c>
      <x:c r="F16" s="4" t="str">
        <x:v>CRM stewardship</x:v>
      </x:c>
      <x:c r="G16" s="4" t="str">
        <x:v>Closed</x:v>
      </x:c>
      <x:c r="H16" s="4" t="n">
        <x:v>14</x:v>
      </x:c>
      <x:c r="I16" s="4" t="n">
        <x:v>13</x:v>
      </x:c>
      <x:c r="J16" s="4" t="n">
        <x:v>1</x:v>
      </x:c>
      <x:c r="K16" s="4" t="n">
        <x:v>1</x:v>
      </x:c>
      <x:c r="L16" s="4" t="n">
        <x:v>0</x:v>
      </x:c>
    </x:row>
    <x:row r="17" ht="24" customHeight="1">
      <x:c r="A17" s="4" t="str">
        <x:v>GOV-0013</x:v>
      </x:c>
      <x:c r="B17" s="5" t="d">
        <x:v>2026-06-19T00:00:00.000Z</x:v>
      </x:c>
      <x:c r="C17" s="5" t="d">
        <x:v>2026-06-25T00:00:00.000Z</x:v>
      </x:c>
      <x:c r="D17" s="4" t="str">
        <x:v>Customer</x:v>
      </x:c>
      <x:c r="E17" s="4" t="str">
        <x:v>Medium</x:v>
      </x:c>
      <x:c r="F17" s="4" t="str">
        <x:v>CRM stewardship</x:v>
      </x:c>
      <x:c r="G17" s="4" t="str">
        <x:v>Closed</x:v>
      </x:c>
      <x:c r="H17" s="4" t="n">
        <x:v>7</x:v>
      </x:c>
      <x:c r="I17" s="4" t="n">
        <x:v>6</x:v>
      </x:c>
      <x:c r="J17" s="4" t="n">
        <x:v>1</x:v>
      </x:c>
      <x:c r="K17" s="4" t="n">
        <x:v>1</x:v>
      </x:c>
      <x:c r="L17" s="4" t="n">
        <x:v>0</x:v>
      </x:c>
    </x:row>
    <x:row r="18" ht="24" customHeight="1">
      <x:c r="A18" s="4" t="str">
        <x:v>GOV-0014</x:v>
      </x:c>
      <x:c r="B18" s="5" t="d">
        <x:v>2026-05-06T00:00:00.000Z</x:v>
      </x:c>
      <x:c r="C18" s="5" t="d">
        <x:v>2026-05-10T00:00:00.000Z</x:v>
      </x:c>
      <x:c r="D18" s="4" t="str">
        <x:v>Customer</x:v>
      </x:c>
      <x:c r="E18" s="4" t="str">
        <x:v>High</x:v>
      </x:c>
      <x:c r="F18" s="4" t="str">
        <x:v>CRM stewardship</x:v>
      </x:c>
      <x:c r="G18" s="4" t="str">
        <x:v>Closed</x:v>
      </x:c>
      <x:c r="H18" s="4" t="n">
        <x:v>3</x:v>
      </x:c>
      <x:c r="I18" s="4" t="n">
        <x:v>4</x:v>
      </x:c>
      <x:c r="J18" s="4" t="n">
        <x:v>1</x:v>
      </x:c>
      <x:c r="K18" s="4" t="n">
        <x:v>0</x:v>
      </x:c>
      <x:c r="L18" s="4" t="n">
        <x:v>0</x:v>
      </x:c>
    </x:row>
    <x:row r="19" ht="24" customHeight="1">
      <x:c r="A19" s="4" t="str">
        <x:v>GOV-0015</x:v>
      </x:c>
      <x:c r="B19" s="5" t="d">
        <x:v>2026-05-21T00:00:00.000Z</x:v>
      </x:c>
      <x:c r="C19" s="5" t="d">
        <x:v>2026-06-04T00:00:00.000Z</x:v>
      </x:c>
      <x:c r="D19" s="4" t="str">
        <x:v>Product</x:v>
      </x:c>
      <x:c r="E19" s="4" t="str">
        <x:v>Low</x:v>
      </x:c>
      <x:c r="F19" s="4" t="str">
        <x:v>Product ops</x:v>
      </x:c>
      <x:c r="G19" s="4" t="str">
        <x:v>Closed</x:v>
      </x:c>
      <x:c r="H19" s="4" t="n">
        <x:v>14</x:v>
      </x:c>
      <x:c r="I19" s="4" t="n">
        <x:v>14</x:v>
      </x:c>
      <x:c r="J19" s="4" t="n">
        <x:v>1</x:v>
      </x:c>
      <x:c r="K19" s="4" t="n">
        <x:v>1</x:v>
      </x:c>
      <x:c r="L19" s="4" t="n">
        <x:v>0</x:v>
      </x:c>
    </x:row>
    <x:row r="20" ht="24" customHeight="1">
      <x:c r="A20" s="4" t="str">
        <x:v>GOV-0016</x:v>
      </x:c>
      <x:c r="B20" s="5" t="d">
        <x:v>2026-04-15T00:00:00.000Z</x:v>
      </x:c>
      <x:c r="C20" s="5"/>
      <x:c r="D20" s="4" t="str">
        <x:v>Customer</x:v>
      </x:c>
      <x:c r="E20" s="4" t="str">
        <x:v>Medium</x:v>
      </x:c>
      <x:c r="F20" s="4" t="str">
        <x:v>CRM stewardship</x:v>
      </x:c>
      <x:c r="G20" s="4" t="str">
        <x:v>Open</x:v>
      </x:c>
      <x:c r="H20" s="4" t="n">
        <x:v>7</x:v>
      </x:c>
      <x:c r="I20" s="4" t="n">
        <x:v>76</x:v>
      </x:c>
      <x:c r="J20" s="4" t="n">
        <x:v>0</x:v>
      </x:c>
      <x:c r="K20" s="4" t="n">
        <x:v>0</x:v>
      </x:c>
      <x:c r="L20" s="4" t="n">
        <x:v>1</x:v>
      </x:c>
    </x:row>
    <x:row r="21" ht="24" customHeight="1">
      <x:c r="A21" s="4" t="str">
        <x:v>GOV-0017</x:v>
      </x:c>
      <x:c r="B21" s="5" t="d">
        <x:v>2026-06-12T00:00:00.000Z</x:v>
      </x:c>
      <x:c r="C21" s="5" t="d">
        <x:v>2026-06-30T00:00:00.000Z</x:v>
      </x:c>
      <x:c r="D21" s="4" t="str">
        <x:v>Product</x:v>
      </x:c>
      <x:c r="E21" s="4" t="str">
        <x:v>Medium</x:v>
      </x:c>
      <x:c r="F21" s="4" t="str">
        <x:v>Product ops</x:v>
      </x:c>
      <x:c r="G21" s="4" t="str">
        <x:v>Closed</x:v>
      </x:c>
      <x:c r="H21" s="4" t="n">
        <x:v>7</x:v>
      </x:c>
      <x:c r="I21" s="4" t="n">
        <x:v>18</x:v>
      </x:c>
      <x:c r="J21" s="4" t="n">
        <x:v>1</x:v>
      </x:c>
      <x:c r="K21" s="4" t="n">
        <x:v>0</x:v>
      </x:c>
      <x:c r="L21" s="4" t="n">
        <x:v>0</x:v>
      </x:c>
    </x:row>
    <x:row r="22" ht="24" customHeight="1">
      <x:c r="A22" s="4" t="str">
        <x:v>GOV-0018</x:v>
      </x:c>
      <x:c r="B22" s="5" t="d">
        <x:v>2026-06-14T00:00:00.000Z</x:v>
      </x:c>
      <x:c r="C22" s="5"/>
      <x:c r="D22" s="4" t="str">
        <x:v>Finance</x:v>
      </x:c>
      <x:c r="E22" s="4" t="str">
        <x:v>Medium</x:v>
      </x:c>
      <x:c r="F22" s="4" t="str">
        <x:v>Finance data</x:v>
      </x:c>
      <x:c r="G22" s="4" t="str">
        <x:v>Open</x:v>
      </x:c>
      <x:c r="H22" s="4" t="n">
        <x:v>7</x:v>
      </x:c>
      <x:c r="I22" s="4" t="n">
        <x:v>16</x:v>
      </x:c>
      <x:c r="J22" s="4" t="n">
        <x:v>0</x:v>
      </x:c>
      <x:c r="K22" s="4" t="n">
        <x:v>0</x:v>
      </x:c>
      <x:c r="L22" s="4" t="n">
        <x:v>1</x:v>
      </x:c>
    </x:row>
    <x:row r="23" ht="24" customHeight="1">
      <x:c r="A23" s="4" t="str">
        <x:v>GOV-0019</x:v>
      </x:c>
      <x:c r="B23" s="5" t="d">
        <x:v>2026-03-16T00:00:00.000Z</x:v>
      </x:c>
      <x:c r="C23" s="5" t="d">
        <x:v>2026-03-21T00:00:00.000Z</x:v>
      </x:c>
      <x:c r="D23" s="4" t="str">
        <x:v>Finance</x:v>
      </x:c>
      <x:c r="E23" s="4" t="str">
        <x:v>Low</x:v>
      </x:c>
      <x:c r="F23" s="4" t="str">
        <x:v>Finance data</x:v>
      </x:c>
      <x:c r="G23" s="4" t="str">
        <x:v>Closed</x:v>
      </x:c>
      <x:c r="H23" s="4" t="n">
        <x:v>14</x:v>
      </x:c>
      <x:c r="I23" s="4" t="n">
        <x:v>5</x:v>
      </x:c>
      <x:c r="J23" s="4" t="n">
        <x:v>1</x:v>
      </x:c>
      <x:c r="K23" s="4" t="n">
        <x:v>1</x:v>
      </x:c>
      <x:c r="L23" s="4" t="n">
        <x:v>0</x:v>
      </x:c>
    </x:row>
    <x:row r="24" ht="24" customHeight="1">
      <x:c r="A24" s="4" t="str">
        <x:v>GOV-0020</x:v>
      </x:c>
      <x:c r="B24" s="5" t="d">
        <x:v>2026-06-24T00:00:00.000Z</x:v>
      </x:c>
      <x:c r="C24" s="5"/>
      <x:c r="D24" s="4" t="str">
        <x:v>Supplier</x:v>
      </x:c>
      <x:c r="E24" s="4" t="str">
        <x:v>Medium</x:v>
      </x:c>
      <x:c r="F24" s="4" t="str">
        <x:v>Procurement data</x:v>
      </x:c>
      <x:c r="G24" s="4" t="str">
        <x:v>Open</x:v>
      </x:c>
      <x:c r="H24" s="4" t="n">
        <x:v>7</x:v>
      </x:c>
      <x:c r="I24" s="4" t="n">
        <x:v>6</x:v>
      </x:c>
      <x:c r="J24" s="4" t="n">
        <x:v>0</x:v>
      </x:c>
      <x:c r="K24" s="4" t="n">
        <x:v>0</x:v>
      </x:c>
      <x:c r="L24" s="4" t="n">
        <x:v>0</x:v>
      </x:c>
    </x:row>
    <x:row r="25" ht="24" customHeight="1">
      <x:c r="A25" s="4" t="str">
        <x:v>GOV-0021</x:v>
      </x:c>
      <x:c r="B25" s="5" t="d">
        <x:v>2026-01-05T00:00:00.000Z</x:v>
      </x:c>
      <x:c r="C25" s="5" t="d">
        <x:v>2026-01-22T00:00:00.000Z</x:v>
      </x:c>
      <x:c r="D25" s="4" t="str">
        <x:v>Finance</x:v>
      </x:c>
      <x:c r="E25" s="4" t="str">
        <x:v>Low</x:v>
      </x:c>
      <x:c r="F25" s="4" t="str">
        <x:v>Finance data</x:v>
      </x:c>
      <x:c r="G25" s="4" t="str">
        <x:v>Closed</x:v>
      </x:c>
      <x:c r="H25" s="4" t="n">
        <x:v>14</x:v>
      </x:c>
      <x:c r="I25" s="4" t="n">
        <x:v>17</x:v>
      </x:c>
      <x:c r="J25" s="4" t="n">
        <x:v>1</x:v>
      </x:c>
      <x:c r="K25" s="4" t="n">
        <x:v>0</x:v>
      </x:c>
      <x:c r="L25" s="4" t="n">
        <x:v>0</x:v>
      </x:c>
    </x:row>
    <x:row r="26" ht="24" customHeight="1">
      <x:c r="A26" s="4" t="str">
        <x:v>GOV-0022</x:v>
      </x:c>
      <x:c r="B26" s="5" t="d">
        <x:v>2026-06-18T00:00:00.000Z</x:v>
      </x:c>
      <x:c r="C26" s="5"/>
      <x:c r="D26" s="4" t="str">
        <x:v>Supplier</x:v>
      </x:c>
      <x:c r="E26" s="4" t="str">
        <x:v>High</x:v>
      </x:c>
      <x:c r="F26" s="4" t="str">
        <x:v>Procurement data</x:v>
      </x:c>
      <x:c r="G26" s="4" t="str">
        <x:v>Open</x:v>
      </x:c>
      <x:c r="H26" s="4" t="n">
        <x:v>3</x:v>
      </x:c>
      <x:c r="I26" s="4" t="n">
        <x:v>12</x:v>
      </x:c>
      <x:c r="J26" s="4" t="n">
        <x:v>0</x:v>
      </x:c>
      <x:c r="K26" s="4" t="n">
        <x:v>0</x:v>
      </x:c>
      <x:c r="L26" s="4" t="n">
        <x:v>1</x:v>
      </x:c>
    </x:row>
    <x:row r="27" ht="24" customHeight="1">
      <x:c r="A27" s="4" t="str">
        <x:v>GOV-0023</x:v>
      </x:c>
      <x:c r="B27" s="5" t="d">
        <x:v>2026-01-19T00:00:00.000Z</x:v>
      </x:c>
      <x:c r="C27" s="5" t="d">
        <x:v>2026-01-28T00:00:00.000Z</x:v>
      </x:c>
      <x:c r="D27" s="4" t="str">
        <x:v>Customer</x:v>
      </x:c>
      <x:c r="E27" s="4" t="str">
        <x:v>Medium</x:v>
      </x:c>
      <x:c r="F27" s="4" t="str">
        <x:v>CRM stewardship</x:v>
      </x:c>
      <x:c r="G27" s="4" t="str">
        <x:v>Closed</x:v>
      </x:c>
      <x:c r="H27" s="4" t="n">
        <x:v>7</x:v>
      </x:c>
      <x:c r="I27" s="4" t="n">
        <x:v>9</x:v>
      </x:c>
      <x:c r="J27" s="4" t="n">
        <x:v>1</x:v>
      </x:c>
      <x:c r="K27" s="4" t="n">
        <x:v>0</x:v>
      </x:c>
      <x:c r="L27" s="4" t="n">
        <x:v>0</x:v>
      </x:c>
    </x:row>
    <x:row r="28" ht="24" customHeight="1">
      <x:c r="A28" s="4" t="str">
        <x:v>GOV-0024</x:v>
      </x:c>
      <x:c r="B28" s="5" t="d">
        <x:v>2026-03-11T00:00:00.000Z</x:v>
      </x:c>
      <x:c r="C28" s="5" t="d">
        <x:v>2026-03-27T00:00:00.000Z</x:v>
      </x:c>
      <x:c r="D28" s="4" t="str">
        <x:v>Finance</x:v>
      </x:c>
      <x:c r="E28" s="4" t="str">
        <x:v>Medium</x:v>
      </x:c>
      <x:c r="F28" s="4" t="str">
        <x:v>Finance data</x:v>
      </x:c>
      <x:c r="G28" s="4" t="str">
        <x:v>Closed</x:v>
      </x:c>
      <x:c r="H28" s="4" t="n">
        <x:v>7</x:v>
      </x:c>
      <x:c r="I28" s="4" t="n">
        <x:v>16</x:v>
      </x:c>
      <x:c r="J28" s="4" t="n">
        <x:v>1</x:v>
      </x:c>
      <x:c r="K28" s="4" t="n">
        <x:v>0</x:v>
      </x:c>
      <x:c r="L28" s="4" t="n">
        <x:v>0</x:v>
      </x:c>
    </x:row>
    <x:row r="29" ht="24" customHeight="1">
      <x:c r="A29" s="4" t="str">
        <x:v>GOV-0025</x:v>
      </x:c>
      <x:c r="B29" s="5" t="d">
        <x:v>2026-04-23T00:00:00.000Z</x:v>
      </x:c>
      <x:c r="C29" s="5" t="d">
        <x:v>2026-05-02T00:00:00.000Z</x:v>
      </x:c>
      <x:c r="D29" s="4" t="str">
        <x:v>Supplier</x:v>
      </x:c>
      <x:c r="E29" s="4" t="str">
        <x:v>Medium</x:v>
      </x:c>
      <x:c r="F29" s="4" t="str">
        <x:v>Procurement data</x:v>
      </x:c>
      <x:c r="G29" s="4" t="str">
        <x:v>Closed</x:v>
      </x:c>
      <x:c r="H29" s="4" t="n">
        <x:v>7</x:v>
      </x:c>
      <x:c r="I29" s="4" t="n">
        <x:v>9</x:v>
      </x:c>
      <x:c r="J29" s="4" t="n">
        <x:v>1</x:v>
      </x:c>
      <x:c r="K29" s="4" t="n">
        <x:v>0</x:v>
      </x:c>
      <x:c r="L29" s="4" t="n">
        <x:v>0</x:v>
      </x:c>
    </x:row>
    <x:row r="30" ht="24" customHeight="1">
      <x:c r="A30" s="4" t="str">
        <x:v>GOV-0026</x:v>
      </x:c>
      <x:c r="B30" s="5" t="d">
        <x:v>2026-03-18T00:00:00.000Z</x:v>
      </x:c>
      <x:c r="C30" s="5" t="d">
        <x:v>2026-03-21T00:00:00.000Z</x:v>
      </x:c>
      <x:c r="D30" s="4" t="str">
        <x:v>Product</x:v>
      </x:c>
      <x:c r="E30" s="4" t="str">
        <x:v>Medium</x:v>
      </x:c>
      <x:c r="F30" s="4" t="str">
        <x:v>Product ops</x:v>
      </x:c>
      <x:c r="G30" s="4" t="str">
        <x:v>Closed</x:v>
      </x:c>
      <x:c r="H30" s="4" t="n">
        <x:v>7</x:v>
      </x:c>
      <x:c r="I30" s="4" t="n">
        <x:v>3</x:v>
      </x:c>
      <x:c r="J30" s="4" t="n">
        <x:v>1</x:v>
      </x:c>
      <x:c r="K30" s="4" t="n">
        <x:v>1</x:v>
      </x:c>
      <x:c r="L30" s="4" t="n">
        <x:v>0</x:v>
      </x:c>
    </x:row>
    <x:row r="31" ht="24" customHeight="1">
      <x:c r="A31" s="4" t="str">
        <x:v>GOV-0027</x:v>
      </x:c>
      <x:c r="B31" s="5" t="d">
        <x:v>2026-06-22T00:00:00.000Z</x:v>
      </x:c>
      <x:c r="C31" s="5"/>
      <x:c r="D31" s="4" t="str">
        <x:v>Customer</x:v>
      </x:c>
      <x:c r="E31" s="4" t="str">
        <x:v>High</x:v>
      </x:c>
      <x:c r="F31" s="4" t="str">
        <x:v>CRM stewardship</x:v>
      </x:c>
      <x:c r="G31" s="4" t="str">
        <x:v>Open</x:v>
      </x:c>
      <x:c r="H31" s="4" t="n">
        <x:v>3</x:v>
      </x:c>
      <x:c r="I31" s="4" t="n">
        <x:v>8</x:v>
      </x:c>
      <x:c r="J31" s="4" t="n">
        <x:v>0</x:v>
      </x:c>
      <x:c r="K31" s="4" t="n">
        <x:v>0</x:v>
      </x:c>
      <x:c r="L31" s="4" t="n">
        <x:v>1</x:v>
      </x:c>
    </x:row>
    <x:row r="32" ht="24" customHeight="1">
      <x:c r="A32" s="4" t="str">
        <x:v>GOV-0028</x:v>
      </x:c>
      <x:c r="B32" s="5" t="d">
        <x:v>2026-05-06T00:00:00.000Z</x:v>
      </x:c>
      <x:c r="C32" s="5" t="d">
        <x:v>2026-05-17T00:00:00.000Z</x:v>
      </x:c>
      <x:c r="D32" s="4" t="str">
        <x:v>Product</x:v>
      </x:c>
      <x:c r="E32" s="4" t="str">
        <x:v>Medium</x:v>
      </x:c>
      <x:c r="F32" s="4" t="str">
        <x:v>Product ops</x:v>
      </x:c>
      <x:c r="G32" s="4" t="str">
        <x:v>Closed</x:v>
      </x:c>
      <x:c r="H32" s="4" t="n">
        <x:v>7</x:v>
      </x:c>
      <x:c r="I32" s="4" t="n">
        <x:v>11</x:v>
      </x:c>
      <x:c r="J32" s="4" t="n">
        <x:v>1</x:v>
      </x:c>
      <x:c r="K32" s="4" t="n">
        <x:v>0</x:v>
      </x:c>
      <x:c r="L32" s="4" t="n">
        <x:v>0</x:v>
      </x:c>
    </x:row>
    <x:row r="33" ht="24" customHeight="1">
      <x:c r="A33" s="4" t="str">
        <x:v>GOV-0029</x:v>
      </x:c>
      <x:c r="B33" s="5" t="d">
        <x:v>2026-04-09T00:00:00.000Z</x:v>
      </x:c>
      <x:c r="C33" s="5"/>
      <x:c r="D33" s="4" t="str">
        <x:v>Supplier</x:v>
      </x:c>
      <x:c r="E33" s="4" t="str">
        <x:v>Medium</x:v>
      </x:c>
      <x:c r="F33" s="4" t="str">
        <x:v>Procurement data</x:v>
      </x:c>
      <x:c r="G33" s="4" t="str">
        <x:v>Open</x:v>
      </x:c>
      <x:c r="H33" s="4" t="n">
        <x:v>7</x:v>
      </x:c>
      <x:c r="I33" s="4" t="n">
        <x:v>82</x:v>
      </x:c>
      <x:c r="J33" s="4" t="n">
        <x:v>0</x:v>
      </x:c>
      <x:c r="K33" s="4" t="n">
        <x:v>0</x:v>
      </x:c>
      <x:c r="L33" s="4" t="n">
        <x:v>1</x:v>
      </x:c>
    </x:row>
    <x:row r="34" ht="24" customHeight="1">
      <x:c r="A34" s="4" t="str">
        <x:v>GOV-0030</x:v>
      </x:c>
      <x:c r="B34" s="5" t="d">
        <x:v>2026-05-28T00:00:00.000Z</x:v>
      </x:c>
      <x:c r="C34" s="5" t="d">
        <x:v>2026-06-04T00:00:00.000Z</x:v>
      </x:c>
      <x:c r="D34" s="4" t="str">
        <x:v>Customer</x:v>
      </x:c>
      <x:c r="E34" s="4" t="str">
        <x:v>High</x:v>
      </x:c>
      <x:c r="F34" s="4" t="str">
        <x:v>CRM stewardship</x:v>
      </x:c>
      <x:c r="G34" s="4" t="str">
        <x:v>Closed</x:v>
      </x:c>
      <x:c r="H34" s="4" t="n">
        <x:v>3</x:v>
      </x:c>
      <x:c r="I34" s="4" t="n">
        <x:v>7</x:v>
      </x:c>
      <x:c r="J34" s="4" t="n">
        <x:v>1</x:v>
      </x:c>
      <x:c r="K34" s="4" t="n">
        <x:v>0</x:v>
      </x:c>
      <x:c r="L34" s="4" t="n">
        <x:v>0</x:v>
      </x:c>
    </x:row>
    <x:row r="35" ht="24" customHeight="1">
      <x:c r="A35" s="4" t="str">
        <x:v>GOV-0031</x:v>
      </x:c>
      <x:c r="B35" s="5" t="d">
        <x:v>2026-05-04T00:00:00.000Z</x:v>
      </x:c>
      <x:c r="C35" s="5" t="d">
        <x:v>2026-05-21T00:00:00.000Z</x:v>
      </x:c>
      <x:c r="D35" s="4" t="str">
        <x:v>Product</x:v>
      </x:c>
      <x:c r="E35" s="4" t="str">
        <x:v>High</x:v>
      </x:c>
      <x:c r="F35" s="4" t="str">
        <x:v>Product ops</x:v>
      </x:c>
      <x:c r="G35" s="4" t="str">
        <x:v>Closed</x:v>
      </x:c>
      <x:c r="H35" s="4" t="n">
        <x:v>3</x:v>
      </x:c>
      <x:c r="I35" s="4" t="n">
        <x:v>17</x:v>
      </x:c>
      <x:c r="J35" s="4" t="n">
        <x:v>1</x:v>
      </x:c>
      <x:c r="K35" s="4" t="n">
        <x:v>0</x:v>
      </x:c>
      <x:c r="L35" s="4" t="n">
        <x:v>0</x:v>
      </x:c>
    </x:row>
    <x:row r="36" ht="24" customHeight="1">
      <x:c r="A36" s="4" t="str">
        <x:v>GOV-0032</x:v>
      </x:c>
      <x:c r="B36" s="5" t="d">
        <x:v>2026-05-04T00:00:00.000Z</x:v>
      </x:c>
      <x:c r="C36" s="5" t="d">
        <x:v>2026-05-05T00:00:00.000Z</x:v>
      </x:c>
      <x:c r="D36" s="4" t="str">
        <x:v>Product</x:v>
      </x:c>
      <x:c r="E36" s="4" t="str">
        <x:v>High</x:v>
      </x:c>
      <x:c r="F36" s="4" t="str">
        <x:v>Product ops</x:v>
      </x:c>
      <x:c r="G36" s="4" t="str">
        <x:v>Closed</x:v>
      </x:c>
      <x:c r="H36" s="4" t="n">
        <x:v>3</x:v>
      </x:c>
      <x:c r="I36" s="4" t="n">
        <x:v>1</x:v>
      </x:c>
      <x:c r="J36" s="4" t="n">
        <x:v>1</x:v>
      </x:c>
      <x:c r="K36" s="4" t="n">
        <x:v>1</x:v>
      </x:c>
      <x:c r="L36" s="4" t="n">
        <x:v>0</x:v>
      </x:c>
    </x:row>
    <x:row r="37" ht="24" customHeight="1">
      <x:c r="A37" s="4" t="str">
        <x:v>GOV-0033</x:v>
      </x:c>
      <x:c r="B37" s="5" t="d">
        <x:v>2026-05-14T00:00:00.000Z</x:v>
      </x:c>
      <x:c r="C37" s="5" t="d">
        <x:v>2026-05-29T00:00:00.000Z</x:v>
      </x:c>
      <x:c r="D37" s="4" t="str">
        <x:v>Customer</x:v>
      </x:c>
      <x:c r="E37" s="4" t="str">
        <x:v>High</x:v>
      </x:c>
      <x:c r="F37" s="4" t="str">
        <x:v>CRM stewardship</x:v>
      </x:c>
      <x:c r="G37" s="4" t="str">
        <x:v>Closed</x:v>
      </x:c>
      <x:c r="H37" s="4" t="n">
        <x:v>3</x:v>
      </x:c>
      <x:c r="I37" s="4" t="n">
        <x:v>15</x:v>
      </x:c>
      <x:c r="J37" s="4" t="n">
        <x:v>1</x:v>
      </x:c>
      <x:c r="K37" s="4" t="n">
        <x:v>0</x:v>
      </x:c>
      <x:c r="L37" s="4" t="n">
        <x:v>0</x:v>
      </x:c>
    </x:row>
    <x:row r="38" ht="24" customHeight="1">
      <x:c r="A38" s="4" t="str">
        <x:v>GOV-0034</x:v>
      </x:c>
      <x:c r="B38" s="5" t="d">
        <x:v>2026-06-25T00:00:00.000Z</x:v>
      </x:c>
      <x:c r="C38" s="5"/>
      <x:c r="D38" s="4" t="str">
        <x:v>Supplier</x:v>
      </x:c>
      <x:c r="E38" s="4" t="str">
        <x:v>High</x:v>
      </x:c>
      <x:c r="F38" s="4" t="str">
        <x:v>Procurement data</x:v>
      </x:c>
      <x:c r="G38" s="4" t="str">
        <x:v>Open</x:v>
      </x:c>
      <x:c r="H38" s="4" t="n">
        <x:v>3</x:v>
      </x:c>
      <x:c r="I38" s="4" t="n">
        <x:v>5</x:v>
      </x:c>
      <x:c r="J38" s="4" t="n">
        <x:v>0</x:v>
      </x:c>
      <x:c r="K38" s="4" t="n">
        <x:v>0</x:v>
      </x:c>
      <x:c r="L38" s="4" t="n">
        <x:v>1</x:v>
      </x:c>
    </x:row>
    <x:row r="39" ht="24" customHeight="1">
      <x:c r="A39" s="4" t="str">
        <x:v>GOV-0035</x:v>
      </x:c>
      <x:c r="B39" s="5" t="d">
        <x:v>2026-06-03T00:00:00.000Z</x:v>
      </x:c>
      <x:c r="C39" s="5" t="d">
        <x:v>2026-06-15T00:00:00.000Z</x:v>
      </x:c>
      <x:c r="D39" s="4" t="str">
        <x:v>Customer</x:v>
      </x:c>
      <x:c r="E39" s="4" t="str">
        <x:v>Low</x:v>
      </x:c>
      <x:c r="F39" s="4" t="str">
        <x:v>CRM stewardship</x:v>
      </x:c>
      <x:c r="G39" s="4" t="str">
        <x:v>Closed</x:v>
      </x:c>
      <x:c r="H39" s="4" t="n">
        <x:v>14</x:v>
      </x:c>
      <x:c r="I39" s="4" t="n">
        <x:v>12</x:v>
      </x:c>
      <x:c r="J39" s="4" t="n">
        <x:v>1</x:v>
      </x:c>
      <x:c r="K39" s="4" t="n">
        <x:v>1</x:v>
      </x:c>
      <x:c r="L39" s="4" t="n">
        <x:v>0</x:v>
      </x:c>
    </x:row>
    <x:row r="40" ht="24" customHeight="1">
      <x:c r="A40" s="4" t="str">
        <x:v>GOV-0036</x:v>
      </x:c>
      <x:c r="B40" s="5" t="d">
        <x:v>2026-05-17T00:00:00.000Z</x:v>
      </x:c>
      <x:c r="C40" s="5" t="d">
        <x:v>2026-05-24T00:00:00.000Z</x:v>
      </x:c>
      <x:c r="D40" s="4" t="str">
        <x:v>Supplier</x:v>
      </x:c>
      <x:c r="E40" s="4" t="str">
        <x:v>Medium</x:v>
      </x:c>
      <x:c r="F40" s="4" t="str">
        <x:v>Procurement data</x:v>
      </x:c>
      <x:c r="G40" s="4" t="str">
        <x:v>Closed</x:v>
      </x:c>
      <x:c r="H40" s="4" t="n">
        <x:v>7</x:v>
      </x:c>
      <x:c r="I40" s="4" t="n">
        <x:v>7</x:v>
      </x:c>
      <x:c r="J40" s="4" t="n">
        <x:v>1</x:v>
      </x:c>
      <x:c r="K40" s="4" t="n">
        <x:v>1</x:v>
      </x:c>
      <x:c r="L40" s="4" t="n">
        <x:v>0</x:v>
      </x:c>
    </x:row>
    <x:row r="41" ht="24" customHeight="1">
      <x:c r="A41" s="4" t="str">
        <x:v>GOV-0037</x:v>
      </x:c>
      <x:c r="B41" s="5" t="d">
        <x:v>2026-01-23T00:00:00.000Z</x:v>
      </x:c>
      <x:c r="C41" s="5" t="d">
        <x:v>2026-02-11T00:00:00.000Z</x:v>
      </x:c>
      <x:c r="D41" s="4" t="str">
        <x:v>Supplier</x:v>
      </x:c>
      <x:c r="E41" s="4" t="str">
        <x:v>Medium</x:v>
      </x:c>
      <x:c r="F41" s="4" t="str">
        <x:v>Procurement data</x:v>
      </x:c>
      <x:c r="G41" s="4" t="str">
        <x:v>Closed</x:v>
      </x:c>
      <x:c r="H41" s="4" t="n">
        <x:v>7</x:v>
      </x:c>
      <x:c r="I41" s="4" t="n">
        <x:v>19</x:v>
      </x:c>
      <x:c r="J41" s="4" t="n">
        <x:v>1</x:v>
      </x:c>
      <x:c r="K41" s="4" t="n">
        <x:v>0</x:v>
      </x:c>
      <x:c r="L41" s="4" t="n">
        <x:v>0</x:v>
      </x:c>
    </x:row>
    <x:row r="42" ht="24" customHeight="1">
      <x:c r="A42" s="4" t="str">
        <x:v>GOV-0038</x:v>
      </x:c>
      <x:c r="B42" s="5" t="d">
        <x:v>2026-02-25T00:00:00.000Z</x:v>
      </x:c>
      <x:c r="C42" s="5" t="d">
        <x:v>2026-03-16T00:00:00.000Z</x:v>
      </x:c>
      <x:c r="D42" s="4" t="str">
        <x:v>Finance</x:v>
      </x:c>
      <x:c r="E42" s="4" t="str">
        <x:v>Medium</x:v>
      </x:c>
      <x:c r="F42" s="4" t="str">
        <x:v>Finance data</x:v>
      </x:c>
      <x:c r="G42" s="4" t="str">
        <x:v>Closed</x:v>
      </x:c>
      <x:c r="H42" s="4" t="n">
        <x:v>7</x:v>
      </x:c>
      <x:c r="I42" s="4" t="n">
        <x:v>19</x:v>
      </x:c>
      <x:c r="J42" s="4" t="n">
        <x:v>1</x:v>
      </x:c>
      <x:c r="K42" s="4" t="n">
        <x:v>0</x:v>
      </x:c>
      <x:c r="L42" s="4" t="n">
        <x:v>0</x:v>
      </x:c>
    </x:row>
    <x:row r="43" ht="24" customHeight="1">
      <x:c r="A43" s="4" t="str">
        <x:v>GOV-0039</x:v>
      </x:c>
      <x:c r="B43" s="5" t="d">
        <x:v>2026-02-23T00:00:00.000Z</x:v>
      </x:c>
      <x:c r="C43" s="5" t="d">
        <x:v>2026-02-25T00:00:00.000Z</x:v>
      </x:c>
      <x:c r="D43" s="4" t="str">
        <x:v>Finance</x:v>
      </x:c>
      <x:c r="E43" s="4" t="str">
        <x:v>Medium</x:v>
      </x:c>
      <x:c r="F43" s="4" t="str">
        <x:v>Finance data</x:v>
      </x:c>
      <x:c r="G43" s="4" t="str">
        <x:v>Closed</x:v>
      </x:c>
      <x:c r="H43" s="4" t="n">
        <x:v>7</x:v>
      </x:c>
      <x:c r="I43" s="4" t="n">
        <x:v>2</x:v>
      </x:c>
      <x:c r="J43" s="4" t="n">
        <x:v>1</x:v>
      </x:c>
      <x:c r="K43" s="4" t="n">
        <x:v>1</x:v>
      </x:c>
      <x:c r="L43" s="4" t="n">
        <x:v>0</x:v>
      </x:c>
    </x:row>
    <x:row r="44" ht="24" customHeight="1">
      <x:c r="A44" s="4" t="str">
        <x:v>GOV-0040</x:v>
      </x:c>
      <x:c r="B44" s="5" t="d">
        <x:v>2026-03-01T00:00:00.000Z</x:v>
      </x:c>
      <x:c r="C44" s="5" t="d">
        <x:v>2026-03-11T00:00:00.000Z</x:v>
      </x:c>
      <x:c r="D44" s="4" t="str">
        <x:v>Supplier</x:v>
      </x:c>
      <x:c r="E44" s="4" t="str">
        <x:v>Low</x:v>
      </x:c>
      <x:c r="F44" s="4" t="str">
        <x:v>Procurement data</x:v>
      </x:c>
      <x:c r="G44" s="4" t="str">
        <x:v>Closed</x:v>
      </x:c>
      <x:c r="H44" s="4" t="n">
        <x:v>14</x:v>
      </x:c>
      <x:c r="I44" s="4" t="n">
        <x:v>10</x:v>
      </x:c>
      <x:c r="J44" s="4" t="n">
        <x:v>1</x:v>
      </x:c>
      <x:c r="K44" s="4" t="n">
        <x:v>1</x:v>
      </x:c>
      <x:c r="L44" s="4" t="n">
        <x:v>0</x:v>
      </x:c>
    </x:row>
    <x:row r="45" ht="24" customHeight="1">
      <x:c r="A45" s="4" t="str">
        <x:v>GOV-0041</x:v>
      </x:c>
      <x:c r="B45" s="5" t="d">
        <x:v>2026-05-08T00:00:00.000Z</x:v>
      </x:c>
      <x:c r="C45" s="5" t="d">
        <x:v>2026-05-18T00:00:00.000Z</x:v>
      </x:c>
      <x:c r="D45" s="4" t="str">
        <x:v>Supplier</x:v>
      </x:c>
      <x:c r="E45" s="4" t="str">
        <x:v>Low</x:v>
      </x:c>
      <x:c r="F45" s="4" t="str">
        <x:v>Procurement data</x:v>
      </x:c>
      <x:c r="G45" s="4" t="str">
        <x:v>Closed</x:v>
      </x:c>
      <x:c r="H45" s="4" t="n">
        <x:v>14</x:v>
      </x:c>
      <x:c r="I45" s="4" t="n">
        <x:v>10</x:v>
      </x:c>
      <x:c r="J45" s="4" t="n">
        <x:v>1</x:v>
      </x:c>
      <x:c r="K45" s="4" t="n">
        <x:v>1</x:v>
      </x:c>
      <x:c r="L45" s="4" t="n">
        <x:v>0</x:v>
      </x:c>
    </x:row>
    <x:row r="46" ht="24" customHeight="1">
      <x:c r="A46" s="4" t="str">
        <x:v>GOV-0042</x:v>
      </x:c>
      <x:c r="B46" s="5" t="d">
        <x:v>2026-06-25T00:00:00.000Z</x:v>
      </x:c>
      <x:c r="C46" s="5"/>
      <x:c r="D46" s="4" t="str">
        <x:v>Customer</x:v>
      </x:c>
      <x:c r="E46" s="4" t="str">
        <x:v>High</x:v>
      </x:c>
      <x:c r="F46" s="4" t="str">
        <x:v>CRM stewardship</x:v>
      </x:c>
      <x:c r="G46" s="4" t="str">
        <x:v>Open</x:v>
      </x:c>
      <x:c r="H46" s="4" t="n">
        <x:v>3</x:v>
      </x:c>
      <x:c r="I46" s="4" t="n">
        <x:v>5</x:v>
      </x:c>
      <x:c r="J46" s="4" t="n">
        <x:v>0</x:v>
      </x:c>
      <x:c r="K46" s="4" t="n">
        <x:v>0</x:v>
      </x:c>
      <x:c r="L46" s="4" t="n">
        <x:v>1</x:v>
      </x:c>
    </x:row>
    <x:row r="47" ht="24" customHeight="1">
      <x:c r="A47" s="4" t="str">
        <x:v>GOV-0043</x:v>
      </x:c>
      <x:c r="B47" s="5" t="d">
        <x:v>2026-02-25T00:00:00.000Z</x:v>
      </x:c>
      <x:c r="C47" s="5" t="d">
        <x:v>2026-03-08T00:00:00.000Z</x:v>
      </x:c>
      <x:c r="D47" s="4" t="str">
        <x:v>Customer</x:v>
      </x:c>
      <x:c r="E47" s="4" t="str">
        <x:v>Medium</x:v>
      </x:c>
      <x:c r="F47" s="4" t="str">
        <x:v>CRM stewardship</x:v>
      </x:c>
      <x:c r="G47" s="4" t="str">
        <x:v>Closed</x:v>
      </x:c>
      <x:c r="H47" s="4" t="n">
        <x:v>7</x:v>
      </x:c>
      <x:c r="I47" s="4" t="n">
        <x:v>11</x:v>
      </x:c>
      <x:c r="J47" s="4" t="n">
        <x:v>1</x:v>
      </x:c>
      <x:c r="K47" s="4" t="n">
        <x:v>0</x:v>
      </x:c>
      <x:c r="L47" s="4" t="n">
        <x:v>0</x:v>
      </x:c>
    </x:row>
    <x:row r="48" ht="24" customHeight="1">
      <x:c r="A48" s="4" t="str">
        <x:v>GOV-0044</x:v>
      </x:c>
      <x:c r="B48" s="5" t="d">
        <x:v>2026-02-14T00:00:00.000Z</x:v>
      </x:c>
      <x:c r="C48" s="5" t="d">
        <x:v>2026-02-28T00:00:00.000Z</x:v>
      </x:c>
      <x:c r="D48" s="4" t="str">
        <x:v>Customer</x:v>
      </x:c>
      <x:c r="E48" s="4" t="str">
        <x:v>Medium</x:v>
      </x:c>
      <x:c r="F48" s="4" t="str">
        <x:v>CRM stewardship</x:v>
      </x:c>
      <x:c r="G48" s="4" t="str">
        <x:v>Closed</x:v>
      </x:c>
      <x:c r="H48" s="4" t="n">
        <x:v>7</x:v>
      </x:c>
      <x:c r="I48" s="4" t="n">
        <x:v>14</x:v>
      </x:c>
      <x:c r="J48" s="4" t="n">
        <x:v>1</x:v>
      </x:c>
      <x:c r="K48" s="4" t="n">
        <x:v>0</x:v>
      </x:c>
      <x:c r="L48" s="4" t="n">
        <x:v>0</x:v>
      </x:c>
    </x:row>
    <x:row r="49" ht="24" customHeight="1">
      <x:c r="A49" s="4" t="str">
        <x:v>GOV-0045</x:v>
      </x:c>
      <x:c r="B49" s="5" t="d">
        <x:v>2026-02-25T00:00:00.000Z</x:v>
      </x:c>
      <x:c r="C49" s="5" t="d">
        <x:v>2026-03-11T00:00:00.000Z</x:v>
      </x:c>
      <x:c r="D49" s="4" t="str">
        <x:v>Product</x:v>
      </x:c>
      <x:c r="E49" s="4" t="str">
        <x:v>High</x:v>
      </x:c>
      <x:c r="F49" s="4" t="str">
        <x:v>Product ops</x:v>
      </x:c>
      <x:c r="G49" s="4" t="str">
        <x:v>Closed</x:v>
      </x:c>
      <x:c r="H49" s="4" t="n">
        <x:v>3</x:v>
      </x:c>
      <x:c r="I49" s="4" t="n">
        <x:v>14</x:v>
      </x:c>
      <x:c r="J49" s="4" t="n">
        <x:v>1</x:v>
      </x:c>
      <x:c r="K49" s="4" t="n">
        <x:v>0</x:v>
      </x:c>
      <x:c r="L49" s="4" t="n">
        <x:v>0</x:v>
      </x:c>
    </x:row>
    <x:row r="50" ht="24" customHeight="1">
      <x:c r="A50" s="4" t="str">
        <x:v>GOV-0046</x:v>
      </x:c>
      <x:c r="B50" s="5" t="d">
        <x:v>2026-06-29T00:00:00.000Z</x:v>
      </x:c>
      <x:c r="C50" s="5"/>
      <x:c r="D50" s="4" t="str">
        <x:v>Supplier</x:v>
      </x:c>
      <x:c r="E50" s="4" t="str">
        <x:v>Medium</x:v>
      </x:c>
      <x:c r="F50" s="4" t="str">
        <x:v>Procurement data</x:v>
      </x:c>
      <x:c r="G50" s="4" t="str">
        <x:v>Open</x:v>
      </x:c>
      <x:c r="H50" s="4" t="n">
        <x:v>7</x:v>
      </x:c>
      <x:c r="I50" s="4" t="n">
        <x:v>1</x:v>
      </x:c>
      <x:c r="J50" s="4" t="n">
        <x:v>0</x:v>
      </x:c>
      <x:c r="K50" s="4" t="n">
        <x:v>0</x:v>
      </x:c>
      <x:c r="L50" s="4" t="n">
        <x:v>0</x:v>
      </x:c>
    </x:row>
    <x:row r="51">
      <x:c r="A51" t="str">
        <x:v>GOV-0047</x:v>
      </x:c>
      <x:c r="B51" s="1" t="d">
        <x:v>2026-02-12T00:00:00.000Z</x:v>
      </x:c>
      <x:c r="C51" s="1" t="d">
        <x:v>2026-02-13T00:00:00.000Z</x:v>
      </x:c>
      <x:c r="D51" t="str">
        <x:v>Finance</x:v>
      </x:c>
      <x:c r="E51" t="str">
        <x:v>Medium</x:v>
      </x:c>
      <x:c r="F51" t="str">
        <x:v>Finance data</x:v>
      </x:c>
      <x:c r="G51" t="str">
        <x:v>Closed</x:v>
      </x:c>
      <x:c r="H51" t="n">
        <x:v>7</x:v>
      </x:c>
      <x:c r="I51" t="n">
        <x:v>1</x:v>
      </x:c>
      <x:c r="J51" t="n">
        <x:v>1</x:v>
      </x:c>
      <x:c r="K51" t="n">
        <x:v>1</x:v>
      </x:c>
      <x:c r="L51" t="n">
        <x:v>0</x:v>
      </x:c>
    </x:row>
    <x:row r="52">
      <x:c r="A52" t="str">
        <x:v>GOV-0048</x:v>
      </x:c>
      <x:c r="B52" s="1" t="d">
        <x:v>2026-04-25T00:00:00.000Z</x:v>
      </x:c>
      <x:c r="C52" s="1"/>
      <x:c r="D52" t="str">
        <x:v>Supplier</x:v>
      </x:c>
      <x:c r="E52" t="str">
        <x:v>Medium</x:v>
      </x:c>
      <x:c r="F52" t="str">
        <x:v>Procurement data</x:v>
      </x:c>
      <x:c r="G52" t="str">
        <x:v>Open</x:v>
      </x:c>
      <x:c r="H52" t="n">
        <x:v>7</x:v>
      </x:c>
      <x:c r="I52" t="n">
        <x:v>66</x:v>
      </x:c>
      <x:c r="J52" t="n">
        <x:v>0</x:v>
      </x:c>
      <x:c r="K52" t="n">
        <x:v>0</x:v>
      </x:c>
      <x:c r="L52" t="n">
        <x:v>1</x:v>
      </x:c>
    </x:row>
    <x:row r="53">
      <x:c r="A53" t="str">
        <x:v>GOV-0049</x:v>
      </x:c>
      <x:c r="B53" s="1" t="d">
        <x:v>2026-02-28T00:00:00.000Z</x:v>
      </x:c>
      <x:c r="C53" s="1" t="d">
        <x:v>2026-03-02T00:00:00.000Z</x:v>
      </x:c>
      <x:c r="D53" t="str">
        <x:v>Customer</x:v>
      </x:c>
      <x:c r="E53" t="str">
        <x:v>Low</x:v>
      </x:c>
      <x:c r="F53" t="str">
        <x:v>CRM stewardship</x:v>
      </x:c>
      <x:c r="G53" t="str">
        <x:v>Closed</x:v>
      </x:c>
      <x:c r="H53" t="n">
        <x:v>14</x:v>
      </x:c>
      <x:c r="I53" t="n">
        <x:v>2</x:v>
      </x:c>
      <x:c r="J53" t="n">
        <x:v>1</x:v>
      </x:c>
      <x:c r="K53" t="n">
        <x:v>1</x:v>
      </x:c>
      <x:c r="L53" t="n">
        <x:v>0</x:v>
      </x:c>
    </x:row>
    <x:row r="54">
      <x:c r="A54" t="str">
        <x:v>GOV-0050</x:v>
      </x:c>
      <x:c r="B54" s="1" t="d">
        <x:v>2026-03-09T00:00:00.000Z</x:v>
      </x:c>
      <x:c r="C54" s="1" t="d">
        <x:v>2026-03-18T00:00:00.000Z</x:v>
      </x:c>
      <x:c r="D54" t="str">
        <x:v>Product</x:v>
      </x:c>
      <x:c r="E54" t="str">
        <x:v>High</x:v>
      </x:c>
      <x:c r="F54" t="str">
        <x:v>Product ops</x:v>
      </x:c>
      <x:c r="G54" t="str">
        <x:v>Closed</x:v>
      </x:c>
      <x:c r="H54" t="n">
        <x:v>3</x:v>
      </x:c>
      <x:c r="I54" t="n">
        <x:v>9</x:v>
      </x:c>
      <x:c r="J54" t="n">
        <x:v>1</x:v>
      </x:c>
      <x:c r="K54" t="n">
        <x:v>0</x:v>
      </x:c>
      <x:c r="L54" t="n">
        <x:v>0</x:v>
      </x:c>
    </x:row>
    <x:row r="55">
      <x:c r="A55" t="str">
        <x:v>GOV-0051</x:v>
      </x:c>
      <x:c r="B55" s="1" t="d">
        <x:v>2026-03-21T00:00:00.000Z</x:v>
      </x:c>
      <x:c r="C55" s="1" t="d">
        <x:v>2026-03-31T00:00:00.000Z</x:v>
      </x:c>
      <x:c r="D55" t="str">
        <x:v>Product</x:v>
      </x:c>
      <x:c r="E55" t="str">
        <x:v>High</x:v>
      </x:c>
      <x:c r="F55" t="str">
        <x:v>Product ops</x:v>
      </x:c>
      <x:c r="G55" t="str">
        <x:v>Closed</x:v>
      </x:c>
      <x:c r="H55" t="n">
        <x:v>3</x:v>
      </x:c>
      <x:c r="I55" t="n">
        <x:v>10</x:v>
      </x:c>
      <x:c r="J55" t="n">
        <x:v>1</x:v>
      </x:c>
      <x:c r="K55" t="n">
        <x:v>0</x:v>
      </x:c>
      <x:c r="L55" t="n">
        <x:v>0</x:v>
      </x:c>
    </x:row>
    <x:row r="56">
      <x:c r="A56" t="str">
        <x:v>GOV-0052</x:v>
      </x:c>
      <x:c r="B56" s="1" t="d">
        <x:v>2026-03-25T00:00:00.000Z</x:v>
      </x:c>
      <x:c r="C56" s="1" t="d">
        <x:v>2026-03-26T00:00:00.000Z</x:v>
      </x:c>
      <x:c r="D56" t="str">
        <x:v>Product</x:v>
      </x:c>
      <x:c r="E56" t="str">
        <x:v>Medium</x:v>
      </x:c>
      <x:c r="F56" t="str">
        <x:v>Product ops</x:v>
      </x:c>
      <x:c r="G56" t="str">
        <x:v>Closed</x:v>
      </x:c>
      <x:c r="H56" t="n">
        <x:v>7</x:v>
      </x:c>
      <x:c r="I56" t="n">
        <x:v>1</x:v>
      </x:c>
      <x:c r="J56" t="n">
        <x:v>1</x:v>
      </x:c>
      <x:c r="K56" t="n">
        <x:v>1</x:v>
      </x:c>
      <x:c r="L56" t="n">
        <x:v>0</x:v>
      </x:c>
    </x:row>
    <x:row r="57">
      <x:c r="A57" t="str">
        <x:v>GOV-0053</x:v>
      </x:c>
      <x:c r="B57" s="1" t="d">
        <x:v>2026-01-19T00:00:00.000Z</x:v>
      </x:c>
      <x:c r="C57" s="1"/>
      <x:c r="D57" t="str">
        <x:v>Customer</x:v>
      </x:c>
      <x:c r="E57" t="str">
        <x:v>Low</x:v>
      </x:c>
      <x:c r="F57" t="str">
        <x:v>CRM stewardship</x:v>
      </x:c>
      <x:c r="G57" t="str">
        <x:v>Open</x:v>
      </x:c>
      <x:c r="H57" t="n">
        <x:v>14</x:v>
      </x:c>
      <x:c r="I57" t="n">
        <x:v>162</x:v>
      </x:c>
      <x:c r="J57" t="n">
        <x:v>0</x:v>
      </x:c>
      <x:c r="K57" t="n">
        <x:v>0</x:v>
      </x:c>
      <x:c r="L57" t="n">
        <x:v>1</x:v>
      </x:c>
    </x:row>
    <x:row r="58">
      <x:c r="A58" t="str">
        <x:v>GOV-0054</x:v>
      </x:c>
      <x:c r="B58" s="1" t="d">
        <x:v>2026-01-09T00:00:00.000Z</x:v>
      </x:c>
      <x:c r="C58" s="1" t="d">
        <x:v>2026-01-23T00:00:00.000Z</x:v>
      </x:c>
      <x:c r="D58" t="str">
        <x:v>Finance</x:v>
      </x:c>
      <x:c r="E58" t="str">
        <x:v>Medium</x:v>
      </x:c>
      <x:c r="F58" t="str">
        <x:v>Finance data</x:v>
      </x:c>
      <x:c r="G58" t="str">
        <x:v>Closed</x:v>
      </x:c>
      <x:c r="H58" t="n">
        <x:v>7</x:v>
      </x:c>
      <x:c r="I58" t="n">
        <x:v>14</x:v>
      </x:c>
      <x:c r="J58" t="n">
        <x:v>1</x:v>
      </x:c>
      <x:c r="K58" t="n">
        <x:v>0</x:v>
      </x:c>
      <x:c r="L58" t="n">
        <x:v>0</x:v>
      </x:c>
    </x:row>
    <x:row r="59">
      <x:c r="A59" t="str">
        <x:v>GOV-0055</x:v>
      </x:c>
      <x:c r="B59" s="1" t="d">
        <x:v>2026-06-07T00:00:00.000Z</x:v>
      </x:c>
      <x:c r="C59" s="1" t="d">
        <x:v>2026-06-24T00:00:00.000Z</x:v>
      </x:c>
      <x:c r="D59" t="str">
        <x:v>Product</x:v>
      </x:c>
      <x:c r="E59" t="str">
        <x:v>Medium</x:v>
      </x:c>
      <x:c r="F59" t="str">
        <x:v>Product ops</x:v>
      </x:c>
      <x:c r="G59" t="str">
        <x:v>Closed</x:v>
      </x:c>
      <x:c r="H59" t="n">
        <x:v>7</x:v>
      </x:c>
      <x:c r="I59" t="n">
        <x:v>17</x:v>
      </x:c>
      <x:c r="J59" t="n">
        <x:v>1</x:v>
      </x:c>
      <x:c r="K59" t="n">
        <x:v>0</x:v>
      </x:c>
      <x:c r="L59" t="n">
        <x:v>0</x:v>
      </x:c>
    </x:row>
    <x:row r="60">
      <x:c r="A60" t="str">
        <x:v>GOV-0056</x:v>
      </x:c>
      <x:c r="B60" s="1" t="d">
        <x:v>2026-03-07T00:00:00.000Z</x:v>
      </x:c>
      <x:c r="C60" s="1" t="d">
        <x:v>2026-03-25T00:00:00.000Z</x:v>
      </x:c>
      <x:c r="D60" t="str">
        <x:v>Customer</x:v>
      </x:c>
      <x:c r="E60" t="str">
        <x:v>High</x:v>
      </x:c>
      <x:c r="F60" t="str">
        <x:v>CRM stewardship</x:v>
      </x:c>
      <x:c r="G60" t="str">
        <x:v>Closed</x:v>
      </x:c>
      <x:c r="H60" t="n">
        <x:v>3</x:v>
      </x:c>
      <x:c r="I60" t="n">
        <x:v>18</x:v>
      </x:c>
      <x:c r="J60" t="n">
        <x:v>1</x:v>
      </x:c>
      <x:c r="K60" t="n">
        <x:v>0</x:v>
      </x:c>
      <x:c r="L60" t="n">
        <x:v>0</x:v>
      </x:c>
    </x:row>
    <x:row r="61">
      <x:c r="A61" t="str">
        <x:v>GOV-0057</x:v>
      </x:c>
      <x:c r="B61" s="1" t="d">
        <x:v>2026-04-06T00:00:00.000Z</x:v>
      </x:c>
      <x:c r="C61" s="1" t="d">
        <x:v>2026-04-20T00:00:00.000Z</x:v>
      </x:c>
      <x:c r="D61" t="str">
        <x:v>Finance</x:v>
      </x:c>
      <x:c r="E61" t="str">
        <x:v>Medium</x:v>
      </x:c>
      <x:c r="F61" t="str">
        <x:v>Finance data</x:v>
      </x:c>
      <x:c r="G61" t="str">
        <x:v>Closed</x:v>
      </x:c>
      <x:c r="H61" t="n">
        <x:v>7</x:v>
      </x:c>
      <x:c r="I61" t="n">
        <x:v>14</x:v>
      </x:c>
      <x:c r="J61" t="n">
        <x:v>1</x:v>
      </x:c>
      <x:c r="K61" t="n">
        <x:v>0</x:v>
      </x:c>
      <x:c r="L61" t="n">
        <x:v>0</x:v>
      </x:c>
    </x:row>
    <x:row r="62">
      <x:c r="A62" t="str">
        <x:v>GOV-0058</x:v>
      </x:c>
      <x:c r="B62" s="1" t="d">
        <x:v>2026-02-06T00:00:00.000Z</x:v>
      </x:c>
      <x:c r="C62" s="1" t="d">
        <x:v>2026-02-15T00:00:00.000Z</x:v>
      </x:c>
      <x:c r="D62" t="str">
        <x:v>Customer</x:v>
      </x:c>
      <x:c r="E62" t="str">
        <x:v>High</x:v>
      </x:c>
      <x:c r="F62" t="str">
        <x:v>CRM stewardship</x:v>
      </x:c>
      <x:c r="G62" t="str">
        <x:v>Closed</x:v>
      </x:c>
      <x:c r="H62" t="n">
        <x:v>3</x:v>
      </x:c>
      <x:c r="I62" t="n">
        <x:v>9</x:v>
      </x:c>
      <x:c r="J62" t="n">
        <x:v>1</x:v>
      </x:c>
      <x:c r="K62" t="n">
        <x:v>0</x:v>
      </x:c>
      <x:c r="L62" t="n">
        <x:v>0</x:v>
      </x:c>
    </x:row>
    <x:row r="63">
      <x:c r="A63" t="str">
        <x:v>GOV-0059</x:v>
      </x:c>
      <x:c r="B63" s="1" t="d">
        <x:v>2026-06-06T00:00:00.000Z</x:v>
      </x:c>
      <x:c r="C63" s="1" t="d">
        <x:v>2026-06-29T00:00:00.000Z</x:v>
      </x:c>
      <x:c r="D63" t="str">
        <x:v>Supplier</x:v>
      </x:c>
      <x:c r="E63" t="str">
        <x:v>Medium</x:v>
      </x:c>
      <x:c r="F63" t="str">
        <x:v>Procurement data</x:v>
      </x:c>
      <x:c r="G63" t="str">
        <x:v>Closed</x:v>
      </x:c>
      <x:c r="H63" t="n">
        <x:v>7</x:v>
      </x:c>
      <x:c r="I63" t="n">
        <x:v>23</x:v>
      </x:c>
      <x:c r="J63" t="n">
        <x:v>1</x:v>
      </x:c>
      <x:c r="K63" t="n">
        <x:v>0</x:v>
      </x:c>
      <x:c r="L63" t="n">
        <x:v>0</x:v>
      </x:c>
    </x:row>
    <x:row r="64">
      <x:c r="A64" t="str">
        <x:v>GOV-0060</x:v>
      </x:c>
      <x:c r="B64" s="1" t="d">
        <x:v>2026-05-12T00:00:00.000Z</x:v>
      </x:c>
      <x:c r="C64" s="1" t="d">
        <x:v>2026-05-20T00:00:00.000Z</x:v>
      </x:c>
      <x:c r="D64" t="str">
        <x:v>Product</x:v>
      </x:c>
      <x:c r="E64" t="str">
        <x:v>Medium</x:v>
      </x:c>
      <x:c r="F64" t="str">
        <x:v>Product ops</x:v>
      </x:c>
      <x:c r="G64" t="str">
        <x:v>Closed</x:v>
      </x:c>
      <x:c r="H64" t="n">
        <x:v>7</x:v>
      </x:c>
      <x:c r="I64" t="n">
        <x:v>8</x:v>
      </x:c>
      <x:c r="J64" t="n">
        <x:v>1</x:v>
      </x:c>
      <x:c r="K64" t="n">
        <x:v>0</x:v>
      </x:c>
      <x:c r="L64" t="n">
        <x:v>0</x:v>
      </x:c>
    </x:row>
    <x:row r="65">
      <x:c r="A65" t="str">
        <x:v>GOV-0061</x:v>
      </x:c>
      <x:c r="B65" s="1" t="d">
        <x:v>2026-02-05T00:00:00.000Z</x:v>
      </x:c>
      <x:c r="C65" s="1" t="d">
        <x:v>2026-02-23T00:00:00.000Z</x:v>
      </x:c>
      <x:c r="D65" t="str">
        <x:v>Customer</x:v>
      </x:c>
      <x:c r="E65" t="str">
        <x:v>Medium</x:v>
      </x:c>
      <x:c r="F65" t="str">
        <x:v>CRM stewardship</x:v>
      </x:c>
      <x:c r="G65" t="str">
        <x:v>Closed</x:v>
      </x:c>
      <x:c r="H65" t="n">
        <x:v>7</x:v>
      </x:c>
      <x:c r="I65" t="n">
        <x:v>18</x:v>
      </x:c>
      <x:c r="J65" t="n">
        <x:v>1</x:v>
      </x:c>
      <x:c r="K65" t="n">
        <x:v>0</x:v>
      </x:c>
      <x:c r="L65" t="n">
        <x:v>0</x:v>
      </x:c>
    </x:row>
    <x:row r="66">
      <x:c r="A66" t="str">
        <x:v>GOV-0062</x:v>
      </x:c>
      <x:c r="B66" s="1" t="d">
        <x:v>2026-02-19T00:00:00.000Z</x:v>
      </x:c>
      <x:c r="C66" s="1"/>
      <x:c r="D66" t="str">
        <x:v>Supplier</x:v>
      </x:c>
      <x:c r="E66" t="str">
        <x:v>Low</x:v>
      </x:c>
      <x:c r="F66" t="str">
        <x:v>Procurement data</x:v>
      </x:c>
      <x:c r="G66" t="str">
        <x:v>Open</x:v>
      </x:c>
      <x:c r="H66" t="n">
        <x:v>14</x:v>
      </x:c>
      <x:c r="I66" t="n">
        <x:v>131</x:v>
      </x:c>
      <x:c r="J66" t="n">
        <x:v>0</x:v>
      </x:c>
      <x:c r="K66" t="n">
        <x:v>0</x:v>
      </x:c>
      <x:c r="L66" t="n">
        <x:v>1</x:v>
      </x:c>
    </x:row>
    <x:row r="67">
      <x:c r="A67" t="str">
        <x:v>GOV-0063</x:v>
      </x:c>
      <x:c r="B67" s="1" t="d">
        <x:v>2026-06-22T00:00:00.000Z</x:v>
      </x:c>
      <x:c r="C67" s="1"/>
      <x:c r="D67" t="str">
        <x:v>Finance</x:v>
      </x:c>
      <x:c r="E67" t="str">
        <x:v>Medium</x:v>
      </x:c>
      <x:c r="F67" t="str">
        <x:v>Finance data</x:v>
      </x:c>
      <x:c r="G67" t="str">
        <x:v>Open</x:v>
      </x:c>
      <x:c r="H67" t="n">
        <x:v>7</x:v>
      </x:c>
      <x:c r="I67" t="n">
        <x:v>8</x:v>
      </x:c>
      <x:c r="J67" t="n">
        <x:v>0</x:v>
      </x:c>
      <x:c r="K67" t="n">
        <x:v>0</x:v>
      </x:c>
      <x:c r="L67" t="n">
        <x:v>1</x:v>
      </x:c>
    </x:row>
    <x:row r="68">
      <x:c r="A68" t="str">
        <x:v>GOV-0064</x:v>
      </x:c>
      <x:c r="B68" s="1" t="d">
        <x:v>2026-01-06T00:00:00.000Z</x:v>
      </x:c>
      <x:c r="C68" s="1" t="d">
        <x:v>2026-01-17T00:00:00.000Z</x:v>
      </x:c>
      <x:c r="D68" t="str">
        <x:v>Finance</x:v>
      </x:c>
      <x:c r="E68" t="str">
        <x:v>Medium</x:v>
      </x:c>
      <x:c r="F68" t="str">
        <x:v>Finance data</x:v>
      </x:c>
      <x:c r="G68" t="str">
        <x:v>Closed</x:v>
      </x:c>
      <x:c r="H68" t="n">
        <x:v>7</x:v>
      </x:c>
      <x:c r="I68" t="n">
        <x:v>11</x:v>
      </x:c>
      <x:c r="J68" t="n">
        <x:v>1</x:v>
      </x:c>
      <x:c r="K68" t="n">
        <x:v>0</x:v>
      </x:c>
      <x:c r="L68" t="n">
        <x:v>0</x:v>
      </x:c>
    </x:row>
    <x:row r="69">
      <x:c r="A69" t="str">
        <x:v>GOV-0065</x:v>
      </x:c>
      <x:c r="B69" s="1" t="d">
        <x:v>2026-03-18T00:00:00.000Z</x:v>
      </x:c>
      <x:c r="C69" s="1" t="d">
        <x:v>2026-03-29T00:00:00.000Z</x:v>
      </x:c>
      <x:c r="D69" t="str">
        <x:v>Finance</x:v>
      </x:c>
      <x:c r="E69" t="str">
        <x:v>Medium</x:v>
      </x:c>
      <x:c r="F69" t="str">
        <x:v>Finance data</x:v>
      </x:c>
      <x:c r="G69" t="str">
        <x:v>Closed</x:v>
      </x:c>
      <x:c r="H69" t="n">
        <x:v>7</x:v>
      </x:c>
      <x:c r="I69" t="n">
        <x:v>11</x:v>
      </x:c>
      <x:c r="J69" t="n">
        <x:v>1</x:v>
      </x:c>
      <x:c r="K69" t="n">
        <x:v>0</x:v>
      </x:c>
      <x:c r="L69" t="n">
        <x:v>0</x:v>
      </x:c>
    </x:row>
    <x:row r="70">
      <x:c r="A70" t="str">
        <x:v>GOV-0066</x:v>
      </x:c>
      <x:c r="B70" s="1" t="d">
        <x:v>2026-04-10T00:00:00.000Z</x:v>
      </x:c>
      <x:c r="C70" s="1" t="d">
        <x:v>2026-04-27T00:00:00.000Z</x:v>
      </x:c>
      <x:c r="D70" t="str">
        <x:v>Product</x:v>
      </x:c>
      <x:c r="E70" t="str">
        <x:v>Low</x:v>
      </x:c>
      <x:c r="F70" t="str">
        <x:v>Product ops</x:v>
      </x:c>
      <x:c r="G70" t="str">
        <x:v>Closed</x:v>
      </x:c>
      <x:c r="H70" t="n">
        <x:v>14</x:v>
      </x:c>
      <x:c r="I70" t="n">
        <x:v>17</x:v>
      </x:c>
      <x:c r="J70" t="n">
        <x:v>1</x:v>
      </x:c>
      <x:c r="K70" t="n">
        <x:v>0</x:v>
      </x:c>
      <x:c r="L70" t="n">
        <x:v>0</x:v>
      </x:c>
    </x:row>
    <x:row r="71">
      <x:c r="A71" t="str">
        <x:v>GOV-0067</x:v>
      </x:c>
      <x:c r="B71" s="1" t="d">
        <x:v>2026-04-17T00:00:00.000Z</x:v>
      </x:c>
      <x:c r="C71" s="1" t="d">
        <x:v>2026-04-27T00:00:00.000Z</x:v>
      </x:c>
      <x:c r="D71" t="str">
        <x:v>Product</x:v>
      </x:c>
      <x:c r="E71" t="str">
        <x:v>Medium</x:v>
      </x:c>
      <x:c r="F71" t="str">
        <x:v>Product ops</x:v>
      </x:c>
      <x:c r="G71" t="str">
        <x:v>Closed</x:v>
      </x:c>
      <x:c r="H71" t="n">
        <x:v>7</x:v>
      </x:c>
      <x:c r="I71" t="n">
        <x:v>10</x:v>
      </x:c>
      <x:c r="J71" t="n">
        <x:v>1</x:v>
      </x:c>
      <x:c r="K71" t="n">
        <x:v>0</x:v>
      </x:c>
      <x:c r="L71" t="n">
        <x:v>0</x:v>
      </x:c>
    </x:row>
    <x:row r="72">
      <x:c r="A72" t="str">
        <x:v>GOV-0068</x:v>
      </x:c>
      <x:c r="B72" s="1" t="d">
        <x:v>2026-05-04T00:00:00.000Z</x:v>
      </x:c>
      <x:c r="C72" s="1"/>
      <x:c r="D72" t="str">
        <x:v>Product</x:v>
      </x:c>
      <x:c r="E72" t="str">
        <x:v>Medium</x:v>
      </x:c>
      <x:c r="F72" t="str">
        <x:v>Product ops</x:v>
      </x:c>
      <x:c r="G72" t="str">
        <x:v>Open</x:v>
      </x:c>
      <x:c r="H72" t="n">
        <x:v>7</x:v>
      </x:c>
      <x:c r="I72" t="n">
        <x:v>57</x:v>
      </x:c>
      <x:c r="J72" t="n">
        <x:v>0</x:v>
      </x:c>
      <x:c r="K72" t="n">
        <x:v>0</x:v>
      </x:c>
      <x:c r="L72" t="n">
        <x:v>1</x:v>
      </x:c>
    </x:row>
    <x:row r="73">
      <x:c r="A73" t="str">
        <x:v>GOV-0069</x:v>
      </x:c>
      <x:c r="B73" s="1" t="d">
        <x:v>2026-06-16T00:00:00.000Z</x:v>
      </x:c>
      <x:c r="C73" s="1"/>
      <x:c r="D73" t="str">
        <x:v>Product</x:v>
      </x:c>
      <x:c r="E73" t="str">
        <x:v>High</x:v>
      </x:c>
      <x:c r="F73" t="str">
        <x:v>Product ops</x:v>
      </x:c>
      <x:c r="G73" t="str">
        <x:v>Open</x:v>
      </x:c>
      <x:c r="H73" t="n">
        <x:v>3</x:v>
      </x:c>
      <x:c r="I73" t="n">
        <x:v>14</x:v>
      </x:c>
      <x:c r="J73" t="n">
        <x:v>0</x:v>
      </x:c>
      <x:c r="K73" t="n">
        <x:v>0</x:v>
      </x:c>
      <x:c r="L73" t="n">
        <x:v>1</x:v>
      </x:c>
    </x:row>
    <x:row r="74">
      <x:c r="A74" t="str">
        <x:v>GOV-0070</x:v>
      </x:c>
      <x:c r="B74" s="1" t="d">
        <x:v>2026-02-17T00:00:00.000Z</x:v>
      </x:c>
      <x:c r="C74" s="1" t="d">
        <x:v>2026-03-08T00:00:00.000Z</x:v>
      </x:c>
      <x:c r="D74" t="str">
        <x:v>Finance</x:v>
      </x:c>
      <x:c r="E74" t="str">
        <x:v>Low</x:v>
      </x:c>
      <x:c r="F74" t="str">
        <x:v>Finance data</x:v>
      </x:c>
      <x:c r="G74" t="str">
        <x:v>Closed</x:v>
      </x:c>
      <x:c r="H74" t="n">
        <x:v>14</x:v>
      </x:c>
      <x:c r="I74" t="n">
        <x:v>19</x:v>
      </x:c>
      <x:c r="J74" t="n">
        <x:v>1</x:v>
      </x:c>
      <x:c r="K74" t="n">
        <x:v>0</x:v>
      </x:c>
      <x:c r="L74" t="n">
        <x:v>0</x:v>
      </x:c>
    </x:row>
    <x:row r="75">
      <x:c r="A75" t="str">
        <x:v>GOV-0071</x:v>
      </x:c>
      <x:c r="B75" s="1" t="d">
        <x:v>2026-06-03T00:00:00.000Z</x:v>
      </x:c>
      <x:c r="C75" s="1"/>
      <x:c r="D75" t="str">
        <x:v>Supplier</x:v>
      </x:c>
      <x:c r="E75" t="str">
        <x:v>Medium</x:v>
      </x:c>
      <x:c r="F75" t="str">
        <x:v>Procurement data</x:v>
      </x:c>
      <x:c r="G75" t="str">
        <x:v>Open</x:v>
      </x:c>
      <x:c r="H75" t="n">
        <x:v>7</x:v>
      </x:c>
      <x:c r="I75" t="n">
        <x:v>27</x:v>
      </x:c>
      <x:c r="J75" t="n">
        <x:v>0</x:v>
      </x:c>
      <x:c r="K75" t="n">
        <x:v>0</x:v>
      </x:c>
      <x:c r="L75" t="n">
        <x:v>1</x:v>
      </x:c>
    </x:row>
    <x:row r="76">
      <x:c r="A76" t="str">
        <x:v>GOV-0072</x:v>
      </x:c>
      <x:c r="B76" s="1" t="d">
        <x:v>2026-02-05T00:00:00.000Z</x:v>
      </x:c>
      <x:c r="C76" s="1" t="d">
        <x:v>2026-02-11T00:00:00.000Z</x:v>
      </x:c>
      <x:c r="D76" t="str">
        <x:v>Finance</x:v>
      </x:c>
      <x:c r="E76" t="str">
        <x:v>Medium</x:v>
      </x:c>
      <x:c r="F76" t="str">
        <x:v>Finance data</x:v>
      </x:c>
      <x:c r="G76" t="str">
        <x:v>Closed</x:v>
      </x:c>
      <x:c r="H76" t="n">
        <x:v>7</x:v>
      </x:c>
      <x:c r="I76" t="n">
        <x:v>6</x:v>
      </x:c>
      <x:c r="J76" t="n">
        <x:v>1</x:v>
      </x:c>
      <x:c r="K76" t="n">
        <x:v>1</x:v>
      </x:c>
      <x:c r="L76" t="n">
        <x:v>0</x:v>
      </x:c>
    </x:row>
    <x:row r="77">
      <x:c r="A77" t="str">
        <x:v>GOV-0073</x:v>
      </x:c>
      <x:c r="B77" s="1" t="d">
        <x:v>2026-04-11T00:00:00.000Z</x:v>
      </x:c>
      <x:c r="C77" s="1" t="d">
        <x:v>2026-05-01T00:00:00.000Z</x:v>
      </x:c>
      <x:c r="D77" t="str">
        <x:v>Supplier</x:v>
      </x:c>
      <x:c r="E77" t="str">
        <x:v>High</x:v>
      </x:c>
      <x:c r="F77" t="str">
        <x:v>Procurement data</x:v>
      </x:c>
      <x:c r="G77" t="str">
        <x:v>Closed</x:v>
      </x:c>
      <x:c r="H77" t="n">
        <x:v>3</x:v>
      </x:c>
      <x:c r="I77" t="n">
        <x:v>20</x:v>
      </x:c>
      <x:c r="J77" t="n">
        <x:v>1</x:v>
      </x:c>
      <x:c r="K77" t="n">
        <x:v>0</x:v>
      </x:c>
      <x:c r="L77" t="n">
        <x:v>0</x:v>
      </x:c>
    </x:row>
    <x:row r="78">
      <x:c r="A78" t="str">
        <x:v>GOV-0074</x:v>
      </x:c>
      <x:c r="B78" s="1" t="d">
        <x:v>2026-01-26T00:00:00.000Z</x:v>
      </x:c>
      <x:c r="C78" s="1" t="d">
        <x:v>2026-02-12T00:00:00.000Z</x:v>
      </x:c>
      <x:c r="D78" t="str">
        <x:v>Finance</x:v>
      </x:c>
      <x:c r="E78" t="str">
        <x:v>Low</x:v>
      </x:c>
      <x:c r="F78" t="str">
        <x:v>Finance data</x:v>
      </x:c>
      <x:c r="G78" t="str">
        <x:v>Closed</x:v>
      </x:c>
      <x:c r="H78" t="n">
        <x:v>14</x:v>
      </x:c>
      <x:c r="I78" t="n">
        <x:v>17</x:v>
      </x:c>
      <x:c r="J78" t="n">
        <x:v>1</x:v>
      </x:c>
      <x:c r="K78" t="n">
        <x:v>0</x:v>
      </x:c>
      <x:c r="L78" t="n">
        <x:v>0</x:v>
      </x:c>
    </x:row>
    <x:row r="79">
      <x:c r="A79" t="str">
        <x:v>GOV-0075</x:v>
      </x:c>
      <x:c r="B79" s="1" t="d">
        <x:v>2026-02-06T00:00:00.000Z</x:v>
      </x:c>
      <x:c r="C79" s="1" t="d">
        <x:v>2026-03-01T00:00:00.000Z</x:v>
      </x:c>
      <x:c r="D79" t="str">
        <x:v>Supplier</x:v>
      </x:c>
      <x:c r="E79" t="str">
        <x:v>Medium</x:v>
      </x:c>
      <x:c r="F79" t="str">
        <x:v>Procurement data</x:v>
      </x:c>
      <x:c r="G79" t="str">
        <x:v>Closed</x:v>
      </x:c>
      <x:c r="H79" t="n">
        <x:v>7</x:v>
      </x:c>
      <x:c r="I79" t="n">
        <x:v>23</x:v>
      </x:c>
      <x:c r="J79" t="n">
        <x:v>1</x:v>
      </x:c>
      <x:c r="K79" t="n">
        <x:v>0</x:v>
      </x:c>
      <x:c r="L79" t="n">
        <x:v>0</x:v>
      </x:c>
    </x:row>
    <x:row r="80">
      <x:c r="A80" t="str">
        <x:v>GOV-0076</x:v>
      </x:c>
      <x:c r="B80" s="1" t="d">
        <x:v>2026-04-01T00:00:00.000Z</x:v>
      </x:c>
      <x:c r="C80" s="1" t="d">
        <x:v>2026-04-05T00:00:00.000Z</x:v>
      </x:c>
      <x:c r="D80" t="str">
        <x:v>Customer</x:v>
      </x:c>
      <x:c r="E80" t="str">
        <x:v>Low</x:v>
      </x:c>
      <x:c r="F80" t="str">
        <x:v>CRM stewardship</x:v>
      </x:c>
      <x:c r="G80" t="str">
        <x:v>Closed</x:v>
      </x:c>
      <x:c r="H80" t="n">
        <x:v>14</x:v>
      </x:c>
      <x:c r="I80" t="n">
        <x:v>4</x:v>
      </x:c>
      <x:c r="J80" t="n">
        <x:v>1</x:v>
      </x:c>
      <x:c r="K80" t="n">
        <x:v>1</x:v>
      </x:c>
      <x:c r="L80" t="n">
        <x:v>0</x:v>
      </x:c>
    </x:row>
    <x:row r="81">
      <x:c r="A81" t="str">
        <x:v>GOV-0077</x:v>
      </x:c>
      <x:c r="B81" s="1" t="d">
        <x:v>2026-04-07T00:00:00.000Z</x:v>
      </x:c>
      <x:c r="C81" s="1" t="d">
        <x:v>2026-04-12T00:00:00.000Z</x:v>
      </x:c>
      <x:c r="D81" t="str">
        <x:v>Finance</x:v>
      </x:c>
      <x:c r="E81" t="str">
        <x:v>Medium</x:v>
      </x:c>
      <x:c r="F81" t="str">
        <x:v>Finance data</x:v>
      </x:c>
      <x:c r="G81" t="str">
        <x:v>Closed</x:v>
      </x:c>
      <x:c r="H81" t="n">
        <x:v>7</x:v>
      </x:c>
      <x:c r="I81" t="n">
        <x:v>5</x:v>
      </x:c>
      <x:c r="J81" t="n">
        <x:v>1</x:v>
      </x:c>
      <x:c r="K81" t="n">
        <x:v>1</x:v>
      </x:c>
      <x:c r="L81" t="n">
        <x:v>0</x:v>
      </x:c>
    </x:row>
    <x:row r="82">
      <x:c r="A82" t="str">
        <x:v>GOV-0078</x:v>
      </x:c>
      <x:c r="B82" s="1" t="d">
        <x:v>2026-05-16T00:00:00.000Z</x:v>
      </x:c>
      <x:c r="C82" s="1" t="d">
        <x:v>2026-05-20T00:00:00.000Z</x:v>
      </x:c>
      <x:c r="D82" t="str">
        <x:v>Finance</x:v>
      </x:c>
      <x:c r="E82" t="str">
        <x:v>Medium</x:v>
      </x:c>
      <x:c r="F82" t="str">
        <x:v>Finance data</x:v>
      </x:c>
      <x:c r="G82" t="str">
        <x:v>Closed</x:v>
      </x:c>
      <x:c r="H82" t="n">
        <x:v>7</x:v>
      </x:c>
      <x:c r="I82" t="n">
        <x:v>4</x:v>
      </x:c>
      <x:c r="J82" t="n">
        <x:v>1</x:v>
      </x:c>
      <x:c r="K82" t="n">
        <x:v>1</x:v>
      </x:c>
      <x:c r="L82" t="n">
        <x:v>0</x:v>
      </x:c>
    </x:row>
    <x:row r="83">
      <x:c r="A83" t="str">
        <x:v>GOV-0079</x:v>
      </x:c>
      <x:c r="B83" s="1" t="d">
        <x:v>2026-02-18T00:00:00.000Z</x:v>
      </x:c>
      <x:c r="C83" s="1" t="d">
        <x:v>2026-03-11T00:00:00.000Z</x:v>
      </x:c>
      <x:c r="D83" t="str">
        <x:v>Supplier</x:v>
      </x:c>
      <x:c r="E83" t="str">
        <x:v>High</x:v>
      </x:c>
      <x:c r="F83" t="str">
        <x:v>Procurement data</x:v>
      </x:c>
      <x:c r="G83" t="str">
        <x:v>Closed</x:v>
      </x:c>
      <x:c r="H83" t="n">
        <x:v>3</x:v>
      </x:c>
      <x:c r="I83" t="n">
        <x:v>21</x:v>
      </x:c>
      <x:c r="J83" t="n">
        <x:v>1</x:v>
      </x:c>
      <x:c r="K83" t="n">
        <x:v>0</x:v>
      </x:c>
      <x:c r="L83" t="n">
        <x:v>0</x:v>
      </x:c>
    </x:row>
    <x:row r="84">
      <x:c r="A84" t="str">
        <x:v>GOV-0080</x:v>
      </x:c>
      <x:c r="B84" s="1" t="d">
        <x:v>2026-06-05T00:00:00.000Z</x:v>
      </x:c>
      <x:c r="C84" s="1" t="d">
        <x:v>2026-06-19T00:00:00.000Z</x:v>
      </x:c>
      <x:c r="D84" t="str">
        <x:v>Supplier</x:v>
      </x:c>
      <x:c r="E84" t="str">
        <x:v>Medium</x:v>
      </x:c>
      <x:c r="F84" t="str">
        <x:v>Procurement data</x:v>
      </x:c>
      <x:c r="G84" t="str">
        <x:v>Closed</x:v>
      </x:c>
      <x:c r="H84" t="n">
        <x:v>7</x:v>
      </x:c>
      <x:c r="I84" t="n">
        <x:v>14</x:v>
      </x:c>
      <x:c r="J84" t="n">
        <x:v>1</x:v>
      </x:c>
      <x:c r="K84" t="n">
        <x:v>0</x:v>
      </x:c>
      <x:c r="L84" t="n">
        <x:v>0</x:v>
      </x:c>
    </x:row>
    <x:row r="85">
      <x:c r="A85" t="str">
        <x:v>GOV-0081</x:v>
      </x:c>
      <x:c r="B85" s="1" t="d">
        <x:v>2026-02-23T00:00:00.000Z</x:v>
      </x:c>
      <x:c r="C85" s="1" t="d">
        <x:v>2026-03-01T00:00:00.000Z</x:v>
      </x:c>
      <x:c r="D85" t="str">
        <x:v>Supplier</x:v>
      </x:c>
      <x:c r="E85" t="str">
        <x:v>Medium</x:v>
      </x:c>
      <x:c r="F85" t="str">
        <x:v>Procurement data</x:v>
      </x:c>
      <x:c r="G85" t="str">
        <x:v>Closed</x:v>
      </x:c>
      <x:c r="H85" t="n">
        <x:v>7</x:v>
      </x:c>
      <x:c r="I85" t="n">
        <x:v>6</x:v>
      </x:c>
      <x:c r="J85" t="n">
        <x:v>1</x:v>
      </x:c>
      <x:c r="K85" t="n">
        <x:v>1</x:v>
      </x:c>
      <x:c r="L85" t="n">
        <x:v>0</x:v>
      </x:c>
    </x:row>
    <x:row r="86">
      <x:c r="A86" t="str">
        <x:v>GOV-0082</x:v>
      </x:c>
      <x:c r="B86" s="1" t="d">
        <x:v>2026-01-18T00:00:00.000Z</x:v>
      </x:c>
      <x:c r="C86" s="1" t="d">
        <x:v>2026-02-04T00:00:00.000Z</x:v>
      </x:c>
      <x:c r="D86" t="str">
        <x:v>Customer</x:v>
      </x:c>
      <x:c r="E86" t="str">
        <x:v>High</x:v>
      </x:c>
      <x:c r="F86" t="str">
        <x:v>CRM stewardship</x:v>
      </x:c>
      <x:c r="G86" t="str">
        <x:v>Closed</x:v>
      </x:c>
      <x:c r="H86" t="n">
        <x:v>3</x:v>
      </x:c>
      <x:c r="I86" t="n">
        <x:v>17</x:v>
      </x:c>
      <x:c r="J86" t="n">
        <x:v>1</x:v>
      </x:c>
      <x:c r="K86" t="n">
        <x:v>0</x:v>
      </x:c>
      <x:c r="L86" t="n">
        <x:v>0</x:v>
      </x:c>
    </x:row>
    <x:row r="87">
      <x:c r="A87" t="str">
        <x:v>GOV-0083</x:v>
      </x:c>
      <x:c r="B87" s="1" t="d">
        <x:v>2026-03-26T00:00:00.000Z</x:v>
      </x:c>
      <x:c r="C87" s="1" t="d">
        <x:v>2026-03-28T00:00:00.000Z</x:v>
      </x:c>
      <x:c r="D87" t="str">
        <x:v>Finance</x:v>
      </x:c>
      <x:c r="E87" t="str">
        <x:v>Low</x:v>
      </x:c>
      <x:c r="F87" t="str">
        <x:v>Finance data</x:v>
      </x:c>
      <x:c r="G87" t="str">
        <x:v>Closed</x:v>
      </x:c>
      <x:c r="H87" t="n">
        <x:v>14</x:v>
      </x:c>
      <x:c r="I87" t="n">
        <x:v>2</x:v>
      </x:c>
      <x:c r="J87" t="n">
        <x:v>1</x:v>
      </x:c>
      <x:c r="K87" t="n">
        <x:v>1</x:v>
      </x:c>
      <x:c r="L87" t="n">
        <x:v>0</x:v>
      </x:c>
    </x:row>
    <x:row r="88">
      <x:c r="A88" t="str">
        <x:v>GOV-0084</x:v>
      </x:c>
      <x:c r="B88" s="1" t="d">
        <x:v>2026-02-26T00:00:00.000Z</x:v>
      </x:c>
      <x:c r="C88" s="1" t="d">
        <x:v>2026-03-05T00:00:00.000Z</x:v>
      </x:c>
      <x:c r="D88" t="str">
        <x:v>Supplier</x:v>
      </x:c>
      <x:c r="E88" t="str">
        <x:v>Medium</x:v>
      </x:c>
      <x:c r="F88" t="str">
        <x:v>Procurement data</x:v>
      </x:c>
      <x:c r="G88" t="str">
        <x:v>Closed</x:v>
      </x:c>
      <x:c r="H88" t="n">
        <x:v>7</x:v>
      </x:c>
      <x:c r="I88" t="n">
        <x:v>7</x:v>
      </x:c>
      <x:c r="J88" t="n">
        <x:v>1</x:v>
      </x:c>
      <x:c r="K88" t="n">
        <x:v>1</x:v>
      </x:c>
      <x:c r="L88" t="n">
        <x:v>0</x:v>
      </x:c>
    </x:row>
    <x:row r="89">
      <x:c r="A89" t="str">
        <x:v>GOV-0085</x:v>
      </x:c>
      <x:c r="B89" s="1" t="d">
        <x:v>2026-03-10T00:00:00.000Z</x:v>
      </x:c>
      <x:c r="C89" s="1" t="d">
        <x:v>2026-03-23T00:00:00.000Z</x:v>
      </x:c>
      <x:c r="D89" t="str">
        <x:v>Product</x:v>
      </x:c>
      <x:c r="E89" t="str">
        <x:v>Medium</x:v>
      </x:c>
      <x:c r="F89" t="str">
        <x:v>Product ops</x:v>
      </x:c>
      <x:c r="G89" t="str">
        <x:v>Closed</x:v>
      </x:c>
      <x:c r="H89" t="n">
        <x:v>7</x:v>
      </x:c>
      <x:c r="I89" t="n">
        <x:v>13</x:v>
      </x:c>
      <x:c r="J89" t="n">
        <x:v>1</x:v>
      </x:c>
      <x:c r="K89" t="n">
        <x:v>0</x:v>
      </x:c>
      <x:c r="L89" t="n">
        <x:v>0</x:v>
      </x:c>
    </x:row>
    <x:row r="90">
      <x:c r="A90" t="str">
        <x:v>GOV-0086</x:v>
      </x:c>
      <x:c r="B90" s="1" t="d">
        <x:v>2026-01-24T00:00:00.000Z</x:v>
      </x:c>
      <x:c r="C90" s="1" t="d">
        <x:v>2026-02-09T00:00:00.000Z</x:v>
      </x:c>
      <x:c r="D90" t="str">
        <x:v>Supplier</x:v>
      </x:c>
      <x:c r="E90" t="str">
        <x:v>Low</x:v>
      </x:c>
      <x:c r="F90" t="str">
        <x:v>Procurement data</x:v>
      </x:c>
      <x:c r="G90" t="str">
        <x:v>Closed</x:v>
      </x:c>
      <x:c r="H90" t="n">
        <x:v>14</x:v>
      </x:c>
      <x:c r="I90" t="n">
        <x:v>16</x:v>
      </x:c>
      <x:c r="J90" t="n">
        <x:v>1</x:v>
      </x:c>
      <x:c r="K90" t="n">
        <x:v>0</x:v>
      </x:c>
      <x:c r="L90" t="n">
        <x:v>0</x:v>
      </x:c>
    </x:row>
    <x:row r="91">
      <x:c r="A91" t="str">
        <x:v>GOV-0087</x:v>
      </x:c>
      <x:c r="B91" s="1" t="d">
        <x:v>2026-04-08T00:00:00.000Z</x:v>
      </x:c>
      <x:c r="C91" s="1" t="d">
        <x:v>2026-04-09T00:00:00.000Z</x:v>
      </x:c>
      <x:c r="D91" t="str">
        <x:v>Customer</x:v>
      </x:c>
      <x:c r="E91" t="str">
        <x:v>Medium</x:v>
      </x:c>
      <x:c r="F91" t="str">
        <x:v>CRM stewardship</x:v>
      </x:c>
      <x:c r="G91" t="str">
        <x:v>Closed</x:v>
      </x:c>
      <x:c r="H91" t="n">
        <x:v>7</x:v>
      </x:c>
      <x:c r="I91" t="n">
        <x:v>1</x:v>
      </x:c>
      <x:c r="J91" t="n">
        <x:v>1</x:v>
      </x:c>
      <x:c r="K91" t="n">
        <x:v>1</x:v>
      </x:c>
      <x:c r="L91" t="n">
        <x:v>0</x:v>
      </x:c>
    </x:row>
    <x:row r="92">
      <x:c r="A92" t="str">
        <x:v>GOV-0088</x:v>
      </x:c>
      <x:c r="B92" s="1" t="d">
        <x:v>2026-05-07T00:00:00.000Z</x:v>
      </x:c>
      <x:c r="C92" s="1" t="d">
        <x:v>2026-05-26T00:00:00.000Z</x:v>
      </x:c>
      <x:c r="D92" t="str">
        <x:v>Customer</x:v>
      </x:c>
      <x:c r="E92" t="str">
        <x:v>Low</x:v>
      </x:c>
      <x:c r="F92" t="str">
        <x:v>CRM stewardship</x:v>
      </x:c>
      <x:c r="G92" t="str">
        <x:v>Closed</x:v>
      </x:c>
      <x:c r="H92" t="n">
        <x:v>14</x:v>
      </x:c>
      <x:c r="I92" t="n">
        <x:v>19</x:v>
      </x:c>
      <x:c r="J92" t="n">
        <x:v>1</x:v>
      </x:c>
      <x:c r="K92" t="n">
        <x:v>0</x:v>
      </x:c>
      <x:c r="L92" t="n">
        <x:v>0</x:v>
      </x:c>
    </x:row>
    <x:row r="93">
      <x:c r="A93" t="str">
        <x:v>GOV-0089</x:v>
      </x:c>
      <x:c r="B93" s="1" t="d">
        <x:v>2026-06-21T00:00:00.000Z</x:v>
      </x:c>
      <x:c r="C93" s="1"/>
      <x:c r="D93" t="str">
        <x:v>Customer</x:v>
      </x:c>
      <x:c r="E93" t="str">
        <x:v>Medium</x:v>
      </x:c>
      <x:c r="F93" t="str">
        <x:v>CRM stewardship</x:v>
      </x:c>
      <x:c r="G93" t="str">
        <x:v>Open</x:v>
      </x:c>
      <x:c r="H93" t="n">
        <x:v>7</x:v>
      </x:c>
      <x:c r="I93" t="n">
        <x:v>9</x:v>
      </x:c>
      <x:c r="J93" t="n">
        <x:v>0</x:v>
      </x:c>
      <x:c r="K93" t="n">
        <x:v>0</x:v>
      </x:c>
      <x:c r="L93" t="n">
        <x:v>1</x:v>
      </x:c>
    </x:row>
    <x:row r="94">
      <x:c r="A94" t="str">
        <x:v>GOV-0090</x:v>
      </x:c>
      <x:c r="B94" s="1" t="d">
        <x:v>2026-03-09T00:00:00.000Z</x:v>
      </x:c>
      <x:c r="C94" s="1" t="d">
        <x:v>2026-03-19T00:00:00.000Z</x:v>
      </x:c>
      <x:c r="D94" t="str">
        <x:v>Customer</x:v>
      </x:c>
      <x:c r="E94" t="str">
        <x:v>High</x:v>
      </x:c>
      <x:c r="F94" t="str">
        <x:v>CRM stewardship</x:v>
      </x:c>
      <x:c r="G94" t="str">
        <x:v>Closed</x:v>
      </x:c>
      <x:c r="H94" t="n">
        <x:v>3</x:v>
      </x:c>
      <x:c r="I94" t="n">
        <x:v>10</x:v>
      </x:c>
      <x:c r="J94" t="n">
        <x:v>1</x:v>
      </x:c>
      <x:c r="K94" t="n">
        <x:v>0</x:v>
      </x:c>
      <x:c r="L94" t="n">
        <x:v>0</x:v>
      </x:c>
    </x:row>
    <x:row r="95">
      <x:c r="A95" t="str">
        <x:v>GOV-0091</x:v>
      </x:c>
      <x:c r="B95" s="1" t="d">
        <x:v>2026-05-07T00:00:00.000Z</x:v>
      </x:c>
      <x:c r="C95" s="1" t="d">
        <x:v>2026-05-17T00:00:00.000Z</x:v>
      </x:c>
      <x:c r="D95" t="str">
        <x:v>Supplier</x:v>
      </x:c>
      <x:c r="E95" t="str">
        <x:v>Medium</x:v>
      </x:c>
      <x:c r="F95" t="str">
        <x:v>Procurement data</x:v>
      </x:c>
      <x:c r="G95" t="str">
        <x:v>Closed</x:v>
      </x:c>
      <x:c r="H95" t="n">
        <x:v>7</x:v>
      </x:c>
      <x:c r="I95" t="n">
        <x:v>10</x:v>
      </x:c>
      <x:c r="J95" t="n">
        <x:v>1</x:v>
      </x:c>
      <x:c r="K95" t="n">
        <x:v>0</x:v>
      </x:c>
      <x:c r="L95" t="n">
        <x:v>0</x:v>
      </x:c>
    </x:row>
    <x:row r="96">
      <x:c r="A96" t="str">
        <x:v>GOV-0092</x:v>
      </x:c>
      <x:c r="B96" s="1" t="d">
        <x:v>2026-03-04T00:00:00.000Z</x:v>
      </x:c>
      <x:c r="C96" s="1" t="d">
        <x:v>2026-03-08T00:00:00.000Z</x:v>
      </x:c>
      <x:c r="D96" t="str">
        <x:v>Customer</x:v>
      </x:c>
      <x:c r="E96" t="str">
        <x:v>Low</x:v>
      </x:c>
      <x:c r="F96" t="str">
        <x:v>CRM stewardship</x:v>
      </x:c>
      <x:c r="G96" t="str">
        <x:v>Closed</x:v>
      </x:c>
      <x:c r="H96" t="n">
        <x:v>14</x:v>
      </x:c>
      <x:c r="I96" t="n">
        <x:v>4</x:v>
      </x:c>
      <x:c r="J96" t="n">
        <x:v>1</x:v>
      </x:c>
      <x:c r="K96" t="n">
        <x:v>1</x:v>
      </x:c>
      <x:c r="L96" t="n">
        <x:v>0</x:v>
      </x:c>
    </x:row>
    <x:row r="97">
      <x:c r="A97" t="str">
        <x:v>GOV-0093</x:v>
      </x:c>
      <x:c r="B97" s="1" t="d">
        <x:v>2026-02-20T00:00:00.000Z</x:v>
      </x:c>
      <x:c r="C97" s="1" t="d">
        <x:v>2026-02-26T00:00:00.000Z</x:v>
      </x:c>
      <x:c r="D97" t="str">
        <x:v>Supplier</x:v>
      </x:c>
      <x:c r="E97" t="str">
        <x:v>Low</x:v>
      </x:c>
      <x:c r="F97" t="str">
        <x:v>Procurement data</x:v>
      </x:c>
      <x:c r="G97" t="str">
        <x:v>Closed</x:v>
      </x:c>
      <x:c r="H97" t="n">
        <x:v>14</x:v>
      </x:c>
      <x:c r="I97" t="n">
        <x:v>6</x:v>
      </x:c>
      <x:c r="J97" t="n">
        <x:v>1</x:v>
      </x:c>
      <x:c r="K97" t="n">
        <x:v>1</x:v>
      </x:c>
      <x:c r="L97" t="n">
        <x:v>0</x:v>
      </x:c>
    </x:row>
    <x:row r="98">
      <x:c r="A98" t="str">
        <x:v>GOV-0094</x:v>
      </x:c>
      <x:c r="B98" s="1" t="d">
        <x:v>2026-03-03T00:00:00.000Z</x:v>
      </x:c>
      <x:c r="C98" s="1" t="d">
        <x:v>2026-03-20T00:00:00.000Z</x:v>
      </x:c>
      <x:c r="D98" t="str">
        <x:v>Customer</x:v>
      </x:c>
      <x:c r="E98" t="str">
        <x:v>Low</x:v>
      </x:c>
      <x:c r="F98" t="str">
        <x:v>CRM stewardship</x:v>
      </x:c>
      <x:c r="G98" t="str">
        <x:v>Closed</x:v>
      </x:c>
      <x:c r="H98" t="n">
        <x:v>14</x:v>
      </x:c>
      <x:c r="I98" t="n">
        <x:v>17</x:v>
      </x:c>
      <x:c r="J98" t="n">
        <x:v>1</x:v>
      </x:c>
      <x:c r="K98" t="n">
        <x:v>0</x:v>
      </x:c>
      <x:c r="L98" t="n">
        <x:v>0</x:v>
      </x:c>
    </x:row>
    <x:row r="99">
      <x:c r="A99" t="str">
        <x:v>GOV-0095</x:v>
      </x:c>
      <x:c r="B99" s="1" t="d">
        <x:v>2026-06-15T00:00:00.000Z</x:v>
      </x:c>
      <x:c r="C99" s="1" t="d">
        <x:v>2026-06-20T00:00:00.000Z</x:v>
      </x:c>
      <x:c r="D99" t="str">
        <x:v>Customer</x:v>
      </x:c>
      <x:c r="E99" t="str">
        <x:v>Low</x:v>
      </x:c>
      <x:c r="F99" t="str">
        <x:v>CRM stewardship</x:v>
      </x:c>
      <x:c r="G99" t="str">
        <x:v>Closed</x:v>
      </x:c>
      <x:c r="H99" t="n">
        <x:v>14</x:v>
      </x:c>
      <x:c r="I99" t="n">
        <x:v>5</x:v>
      </x:c>
      <x:c r="J99" t="n">
        <x:v>1</x:v>
      </x:c>
      <x:c r="K99" t="n">
        <x:v>1</x:v>
      </x:c>
      <x:c r="L99" t="n">
        <x:v>0</x:v>
      </x:c>
    </x:row>
    <x:row r="100">
      <x:c r="A100" t="str">
        <x:v>GOV-0096</x:v>
      </x:c>
      <x:c r="B100" s="1" t="d">
        <x:v>2026-04-22T00:00:00.000Z</x:v>
      </x:c>
      <x:c r="C100" s="1" t="d">
        <x:v>2026-05-10T00:00:00.000Z</x:v>
      </x:c>
      <x:c r="D100" t="str">
        <x:v>Finance</x:v>
      </x:c>
      <x:c r="E100" t="str">
        <x:v>High</x:v>
      </x:c>
      <x:c r="F100" t="str">
        <x:v>Finance data</x:v>
      </x:c>
      <x:c r="G100" t="str">
        <x:v>Closed</x:v>
      </x:c>
      <x:c r="H100" t="n">
        <x:v>3</x:v>
      </x:c>
      <x:c r="I100" t="n">
        <x:v>18</x:v>
      </x:c>
      <x:c r="J100" t="n">
        <x:v>1</x:v>
      </x:c>
      <x:c r="K100" t="n">
        <x:v>0</x:v>
      </x:c>
      <x:c r="L100" t="n">
        <x:v>0</x:v>
      </x:c>
    </x:row>
    <x:row r="101">
      <x:c r="A101" t="str">
        <x:v>GOV-0097</x:v>
      </x:c>
      <x:c r="B101" s="1" t="d">
        <x:v>2026-02-15T00:00:00.000Z</x:v>
      </x:c>
      <x:c r="C101" s="1" t="d">
        <x:v>2026-03-01T00:00:00.000Z</x:v>
      </x:c>
      <x:c r="D101" t="str">
        <x:v>Product</x:v>
      </x:c>
      <x:c r="E101" t="str">
        <x:v>High</x:v>
      </x:c>
      <x:c r="F101" t="str">
        <x:v>Product ops</x:v>
      </x:c>
      <x:c r="G101" t="str">
        <x:v>Closed</x:v>
      </x:c>
      <x:c r="H101" t="n">
        <x:v>3</x:v>
      </x:c>
      <x:c r="I101" t="n">
        <x:v>14</x:v>
      </x:c>
      <x:c r="J101" t="n">
        <x:v>1</x:v>
      </x:c>
      <x:c r="K101" t="n">
        <x:v>0</x:v>
      </x:c>
      <x:c r="L101" t="n">
        <x:v>0</x:v>
      </x:c>
    </x:row>
    <x:row r="102">
      <x:c r="A102" t="str">
        <x:v>GOV-0098</x:v>
      </x:c>
      <x:c r="B102" s="1" t="d">
        <x:v>2026-04-16T00:00:00.000Z</x:v>
      </x:c>
      <x:c r="C102" s="1" t="d">
        <x:v>2026-04-22T00:00:00.000Z</x:v>
      </x:c>
      <x:c r="D102" t="str">
        <x:v>Supplier</x:v>
      </x:c>
      <x:c r="E102" t="str">
        <x:v>High</x:v>
      </x:c>
      <x:c r="F102" t="str">
        <x:v>Procurement data</x:v>
      </x:c>
      <x:c r="G102" t="str">
        <x:v>Closed</x:v>
      </x:c>
      <x:c r="H102" t="n">
        <x:v>3</x:v>
      </x:c>
      <x:c r="I102" t="n">
        <x:v>6</x:v>
      </x:c>
      <x:c r="J102" t="n">
        <x:v>1</x:v>
      </x:c>
      <x:c r="K102" t="n">
        <x:v>0</x:v>
      </x:c>
      <x:c r="L102" t="n">
        <x:v>0</x:v>
      </x:c>
    </x:row>
    <x:row r="103">
      <x:c r="A103" t="str">
        <x:v>GOV-0099</x:v>
      </x:c>
      <x:c r="B103" s="1" t="d">
        <x:v>2026-04-04T00:00:00.000Z</x:v>
      </x:c>
      <x:c r="C103" s="1" t="d">
        <x:v>2026-04-12T00:00:00.000Z</x:v>
      </x:c>
      <x:c r="D103" t="str">
        <x:v>Customer</x:v>
      </x:c>
      <x:c r="E103" t="str">
        <x:v>Medium</x:v>
      </x:c>
      <x:c r="F103" t="str">
        <x:v>CRM stewardship</x:v>
      </x:c>
      <x:c r="G103" t="str">
        <x:v>Closed</x:v>
      </x:c>
      <x:c r="H103" t="n">
        <x:v>7</x:v>
      </x:c>
      <x:c r="I103" t="n">
        <x:v>8</x:v>
      </x:c>
      <x:c r="J103" t="n">
        <x:v>1</x:v>
      </x:c>
      <x:c r="K103" t="n">
        <x:v>0</x:v>
      </x:c>
      <x:c r="L103" t="n">
        <x:v>0</x:v>
      </x:c>
    </x:row>
    <x:row r="104">
      <x:c r="A104" t="str">
        <x:v>GOV-0100</x:v>
      </x:c>
      <x:c r="B104" s="1" t="d">
        <x:v>2026-05-06T00:00:00.000Z</x:v>
      </x:c>
      <x:c r="C104" s="1" t="d">
        <x:v>2026-05-25T00:00:00.000Z</x:v>
      </x:c>
      <x:c r="D104" t="str">
        <x:v>Supplier</x:v>
      </x:c>
      <x:c r="E104" t="str">
        <x:v>Low</x:v>
      </x:c>
      <x:c r="F104" t="str">
        <x:v>Procurement data</x:v>
      </x:c>
      <x:c r="G104" t="str">
        <x:v>Closed</x:v>
      </x:c>
      <x:c r="H104" t="n">
        <x:v>14</x:v>
      </x:c>
      <x:c r="I104" t="n">
        <x:v>19</x:v>
      </x:c>
      <x:c r="J104" t="n">
        <x:v>1</x:v>
      </x:c>
      <x:c r="K104" t="n">
        <x:v>0</x:v>
      </x:c>
      <x:c r="L104" t="n">
        <x:v>0</x:v>
      </x:c>
    </x:row>
    <x:row r="105">
      <x:c r="A105" t="str">
        <x:v>GOV-0101</x:v>
      </x:c>
      <x:c r="B105" s="1" t="d">
        <x:v>2026-03-27T00:00:00.000Z</x:v>
      </x:c>
      <x:c r="C105" s="1" t="d">
        <x:v>2026-03-29T00:00:00.000Z</x:v>
      </x:c>
      <x:c r="D105" t="str">
        <x:v>Product</x:v>
      </x:c>
      <x:c r="E105" t="str">
        <x:v>High</x:v>
      </x:c>
      <x:c r="F105" t="str">
        <x:v>Product ops</x:v>
      </x:c>
      <x:c r="G105" t="str">
        <x:v>Closed</x:v>
      </x:c>
      <x:c r="H105" t="n">
        <x:v>3</x:v>
      </x:c>
      <x:c r="I105" t="n">
        <x:v>2</x:v>
      </x:c>
      <x:c r="J105" t="n">
        <x:v>1</x:v>
      </x:c>
      <x:c r="K105" t="n">
        <x:v>1</x:v>
      </x:c>
      <x:c r="L105" t="n">
        <x:v>0</x:v>
      </x:c>
    </x:row>
    <x:row r="106">
      <x:c r="A106" t="str">
        <x:v>GOV-0102</x:v>
      </x:c>
      <x:c r="B106" s="1" t="d">
        <x:v>2026-06-21T00:00:00.000Z</x:v>
      </x:c>
      <x:c r="C106" s="1" t="d">
        <x:v>2026-06-28T00:00:00.000Z</x:v>
      </x:c>
      <x:c r="D106" t="str">
        <x:v>Product</x:v>
      </x:c>
      <x:c r="E106" t="str">
        <x:v>Medium</x:v>
      </x:c>
      <x:c r="F106" t="str">
        <x:v>Product ops</x:v>
      </x:c>
      <x:c r="G106" t="str">
        <x:v>Closed</x:v>
      </x:c>
      <x:c r="H106" t="n">
        <x:v>7</x:v>
      </x:c>
      <x:c r="I106" t="n">
        <x:v>7</x:v>
      </x:c>
      <x:c r="J106" t="n">
        <x:v>1</x:v>
      </x:c>
      <x:c r="K106" t="n">
        <x:v>1</x:v>
      </x:c>
      <x:c r="L106" t="n">
        <x:v>0</x:v>
      </x:c>
    </x:row>
    <x:row r="107">
      <x:c r="A107" t="str">
        <x:v>GOV-0103</x:v>
      </x:c>
      <x:c r="B107" s="1" t="d">
        <x:v>2026-02-14T00:00:00.000Z</x:v>
      </x:c>
      <x:c r="C107" s="1" t="d">
        <x:v>2026-03-05T00:00:00.000Z</x:v>
      </x:c>
      <x:c r="D107" t="str">
        <x:v>Customer</x:v>
      </x:c>
      <x:c r="E107" t="str">
        <x:v>Medium</x:v>
      </x:c>
      <x:c r="F107" t="str">
        <x:v>CRM stewardship</x:v>
      </x:c>
      <x:c r="G107" t="str">
        <x:v>Closed</x:v>
      </x:c>
      <x:c r="H107" t="n">
        <x:v>7</x:v>
      </x:c>
      <x:c r="I107" t="n">
        <x:v>19</x:v>
      </x:c>
      <x:c r="J107" t="n">
        <x:v>1</x:v>
      </x:c>
      <x:c r="K107" t="n">
        <x:v>0</x:v>
      </x:c>
      <x:c r="L107" t="n">
        <x:v>0</x:v>
      </x:c>
    </x:row>
    <x:row r="108">
      <x:c r="A108" t="str">
        <x:v>GOV-0104</x:v>
      </x:c>
      <x:c r="B108" s="1" t="d">
        <x:v>2026-04-10T00:00:00.000Z</x:v>
      </x:c>
      <x:c r="C108" s="1"/>
      <x:c r="D108" t="str">
        <x:v>Supplier</x:v>
      </x:c>
      <x:c r="E108" t="str">
        <x:v>High</x:v>
      </x:c>
      <x:c r="F108" t="str">
        <x:v>Procurement data</x:v>
      </x:c>
      <x:c r="G108" t="str">
        <x:v>Open</x:v>
      </x:c>
      <x:c r="H108" t="n">
        <x:v>3</x:v>
      </x:c>
      <x:c r="I108" t="n">
        <x:v>81</x:v>
      </x:c>
      <x:c r="J108" t="n">
        <x:v>0</x:v>
      </x:c>
      <x:c r="K108" t="n">
        <x:v>0</x:v>
      </x:c>
      <x:c r="L108" t="n">
        <x:v>1</x:v>
      </x:c>
    </x:row>
    <x:row r="109">
      <x:c r="A109" t="str">
        <x:v>GOV-0105</x:v>
      </x:c>
      <x:c r="B109" s="1" t="d">
        <x:v>2026-03-15T00:00:00.000Z</x:v>
      </x:c>
      <x:c r="C109" s="1" t="d">
        <x:v>2026-04-03T00:00:00.000Z</x:v>
      </x:c>
      <x:c r="D109" t="str">
        <x:v>Product</x:v>
      </x:c>
      <x:c r="E109" t="str">
        <x:v>Medium</x:v>
      </x:c>
      <x:c r="F109" t="str">
        <x:v>Product ops</x:v>
      </x:c>
      <x:c r="G109" t="str">
        <x:v>Closed</x:v>
      </x:c>
      <x:c r="H109" t="n">
        <x:v>7</x:v>
      </x:c>
      <x:c r="I109" t="n">
        <x:v>19</x:v>
      </x:c>
      <x:c r="J109" t="n">
        <x:v>1</x:v>
      </x:c>
      <x:c r="K109" t="n">
        <x:v>0</x:v>
      </x:c>
      <x:c r="L109" t="n">
        <x:v>0</x:v>
      </x:c>
    </x:row>
    <x:row r="110">
      <x:c r="A110" t="str">
        <x:v>GOV-0106</x:v>
      </x:c>
      <x:c r="B110" s="1" t="d">
        <x:v>2026-03-18T00:00:00.000Z</x:v>
      </x:c>
      <x:c r="C110" s="1" t="d">
        <x:v>2026-03-30T00:00:00.000Z</x:v>
      </x:c>
      <x:c r="D110" t="str">
        <x:v>Customer</x:v>
      </x:c>
      <x:c r="E110" t="str">
        <x:v>Low</x:v>
      </x:c>
      <x:c r="F110" t="str">
        <x:v>CRM stewardship</x:v>
      </x:c>
      <x:c r="G110" t="str">
        <x:v>Closed</x:v>
      </x:c>
      <x:c r="H110" t="n">
        <x:v>14</x:v>
      </x:c>
      <x:c r="I110" t="n">
        <x:v>12</x:v>
      </x:c>
      <x:c r="J110" t="n">
        <x:v>1</x:v>
      </x:c>
      <x:c r="K110" t="n">
        <x:v>1</x:v>
      </x:c>
      <x:c r="L110" t="n">
        <x:v>0</x:v>
      </x:c>
    </x:row>
    <x:row r="111">
      <x:c r="A111" t="str">
        <x:v>GOV-0107</x:v>
      </x:c>
      <x:c r="B111" s="1" t="d">
        <x:v>2026-05-16T00:00:00.000Z</x:v>
      </x:c>
      <x:c r="C111" s="1"/>
      <x:c r="D111" t="str">
        <x:v>Finance</x:v>
      </x:c>
      <x:c r="E111" t="str">
        <x:v>Low</x:v>
      </x:c>
      <x:c r="F111" t="str">
        <x:v>Finance data</x:v>
      </x:c>
      <x:c r="G111" t="str">
        <x:v>Open</x:v>
      </x:c>
      <x:c r="H111" t="n">
        <x:v>14</x:v>
      </x:c>
      <x:c r="I111" t="n">
        <x:v>45</x:v>
      </x:c>
      <x:c r="J111" t="n">
        <x:v>0</x:v>
      </x:c>
      <x:c r="K111" t="n">
        <x:v>0</x:v>
      </x:c>
      <x:c r="L111" t="n">
        <x:v>1</x:v>
      </x:c>
    </x:row>
    <x:row r="112">
      <x:c r="A112" t="str">
        <x:v>GOV-0108</x:v>
      </x:c>
      <x:c r="B112" s="1" t="d">
        <x:v>2026-03-29T00:00:00.000Z</x:v>
      </x:c>
      <x:c r="C112" s="1" t="d">
        <x:v>2026-04-04T00:00:00.000Z</x:v>
      </x:c>
      <x:c r="D112" t="str">
        <x:v>Product</x:v>
      </x:c>
      <x:c r="E112" t="str">
        <x:v>Low</x:v>
      </x:c>
      <x:c r="F112" t="str">
        <x:v>Product ops</x:v>
      </x:c>
      <x:c r="G112" t="str">
        <x:v>Closed</x:v>
      </x:c>
      <x:c r="H112" t="n">
        <x:v>14</x:v>
      </x:c>
      <x:c r="I112" t="n">
        <x:v>6</x:v>
      </x:c>
      <x:c r="J112" t="n">
        <x:v>1</x:v>
      </x:c>
      <x:c r="K112" t="n">
        <x:v>1</x:v>
      </x:c>
      <x:c r="L112" t="n">
        <x:v>0</x:v>
      </x:c>
    </x:row>
    <x:row r="113">
      <x:c r="A113" t="str">
        <x:v>GOV-0109</x:v>
      </x:c>
      <x:c r="B113" s="1" t="d">
        <x:v>2026-03-29T00:00:00.000Z</x:v>
      </x:c>
      <x:c r="C113" s="1" t="d">
        <x:v>2026-04-09T00:00:00.000Z</x:v>
      </x:c>
      <x:c r="D113" t="str">
        <x:v>Supplier</x:v>
      </x:c>
      <x:c r="E113" t="str">
        <x:v>Medium</x:v>
      </x:c>
      <x:c r="F113" t="str">
        <x:v>Procurement data</x:v>
      </x:c>
      <x:c r="G113" t="str">
        <x:v>Closed</x:v>
      </x:c>
      <x:c r="H113" t="n">
        <x:v>7</x:v>
      </x:c>
      <x:c r="I113" t="n">
        <x:v>11</x:v>
      </x:c>
      <x:c r="J113" t="n">
        <x:v>1</x:v>
      </x:c>
      <x:c r="K113" t="n">
        <x:v>0</x:v>
      </x:c>
      <x:c r="L113" t="n">
        <x:v>0</x:v>
      </x:c>
    </x:row>
    <x:row r="114">
      <x:c r="A114" t="str">
        <x:v>GOV-0110</x:v>
      </x:c>
      <x:c r="B114" s="1" t="d">
        <x:v>2026-06-02T00:00:00.000Z</x:v>
      </x:c>
      <x:c r="C114" s="1" t="d">
        <x:v>2026-06-12T00:00:00.000Z</x:v>
      </x:c>
      <x:c r="D114" t="str">
        <x:v>Finance</x:v>
      </x:c>
      <x:c r="E114" t="str">
        <x:v>High</x:v>
      </x:c>
      <x:c r="F114" t="str">
        <x:v>Finance data</x:v>
      </x:c>
      <x:c r="G114" t="str">
        <x:v>Closed</x:v>
      </x:c>
      <x:c r="H114" t="n">
        <x:v>3</x:v>
      </x:c>
      <x:c r="I114" t="n">
        <x:v>10</x:v>
      </x:c>
      <x:c r="J114" t="n">
        <x:v>1</x:v>
      </x:c>
      <x:c r="K114" t="n">
        <x:v>0</x:v>
      </x:c>
      <x:c r="L114" t="n">
        <x:v>0</x:v>
      </x:c>
    </x:row>
    <x:row r="115">
      <x:c r="A115" t="str">
        <x:v>GOV-0111</x:v>
      </x:c>
      <x:c r="B115" s="1" t="d">
        <x:v>2026-01-17T00:00:00.000Z</x:v>
      </x:c>
      <x:c r="C115" s="1" t="d">
        <x:v>2026-02-03T00:00:00.000Z</x:v>
      </x:c>
      <x:c r="D115" t="str">
        <x:v>Supplier</x:v>
      </x:c>
      <x:c r="E115" t="str">
        <x:v>Medium</x:v>
      </x:c>
      <x:c r="F115" t="str">
        <x:v>Procurement data</x:v>
      </x:c>
      <x:c r="G115" t="str">
        <x:v>Closed</x:v>
      </x:c>
      <x:c r="H115" t="n">
        <x:v>7</x:v>
      </x:c>
      <x:c r="I115" t="n">
        <x:v>17</x:v>
      </x:c>
      <x:c r="J115" t="n">
        <x:v>1</x:v>
      </x:c>
      <x:c r="K115" t="n">
        <x:v>0</x:v>
      </x:c>
      <x:c r="L115" t="n">
        <x:v>0</x:v>
      </x:c>
    </x:row>
    <x:row r="116">
      <x:c r="A116" t="str">
        <x:v>GOV-0112</x:v>
      </x:c>
      <x:c r="B116" s="1" t="d">
        <x:v>2026-01-17T00:00:00.000Z</x:v>
      </x:c>
      <x:c r="C116" s="1" t="d">
        <x:v>2026-01-30T00:00:00.000Z</x:v>
      </x:c>
      <x:c r="D116" t="str">
        <x:v>Supplier</x:v>
      </x:c>
      <x:c r="E116" t="str">
        <x:v>High</x:v>
      </x:c>
      <x:c r="F116" t="str">
        <x:v>Procurement data</x:v>
      </x:c>
      <x:c r="G116" t="str">
        <x:v>Closed</x:v>
      </x:c>
      <x:c r="H116" t="n">
        <x:v>3</x:v>
      </x:c>
      <x:c r="I116" t="n">
        <x:v>13</x:v>
      </x:c>
      <x:c r="J116" t="n">
        <x:v>1</x:v>
      </x:c>
      <x:c r="K116" t="n">
        <x:v>0</x:v>
      </x:c>
      <x:c r="L116" t="n">
        <x:v>0</x:v>
      </x:c>
    </x:row>
    <x:row r="117">
      <x:c r="A117" t="str">
        <x:v>GOV-0113</x:v>
      </x:c>
      <x:c r="B117" s="1" t="d">
        <x:v>2026-04-01T00:00:00.000Z</x:v>
      </x:c>
      <x:c r="C117" s="1" t="d">
        <x:v>2026-04-05T00:00:00.000Z</x:v>
      </x:c>
      <x:c r="D117" t="str">
        <x:v>Customer</x:v>
      </x:c>
      <x:c r="E117" t="str">
        <x:v>Low</x:v>
      </x:c>
      <x:c r="F117" t="str">
        <x:v>CRM stewardship</x:v>
      </x:c>
      <x:c r="G117" t="str">
        <x:v>Closed</x:v>
      </x:c>
      <x:c r="H117" t="n">
        <x:v>14</x:v>
      </x:c>
      <x:c r="I117" t="n">
        <x:v>4</x:v>
      </x:c>
      <x:c r="J117" t="n">
        <x:v>1</x:v>
      </x:c>
      <x:c r="K117" t="n">
        <x:v>1</x:v>
      </x:c>
      <x:c r="L117" t="n">
        <x:v>0</x:v>
      </x:c>
    </x:row>
    <x:row r="118">
      <x:c r="A118" t="str">
        <x:v>GOV-0114</x:v>
      </x:c>
      <x:c r="B118" s="1" t="d">
        <x:v>2026-01-18T00:00:00.000Z</x:v>
      </x:c>
      <x:c r="C118" s="1"/>
      <x:c r="D118" t="str">
        <x:v>Customer</x:v>
      </x:c>
      <x:c r="E118" t="str">
        <x:v>High</x:v>
      </x:c>
      <x:c r="F118" t="str">
        <x:v>CRM stewardship</x:v>
      </x:c>
      <x:c r="G118" t="str">
        <x:v>Open</x:v>
      </x:c>
      <x:c r="H118" t="n">
        <x:v>3</x:v>
      </x:c>
      <x:c r="I118" t="n">
        <x:v>163</x:v>
      </x:c>
      <x:c r="J118" t="n">
        <x:v>0</x:v>
      </x:c>
      <x:c r="K118" t="n">
        <x:v>0</x:v>
      </x:c>
      <x:c r="L118" t="n">
        <x:v>1</x:v>
      </x:c>
    </x:row>
    <x:row r="119">
      <x:c r="A119" t="str">
        <x:v>GOV-0115</x:v>
      </x:c>
      <x:c r="B119" s="1" t="d">
        <x:v>2026-01-29T00:00:00.000Z</x:v>
      </x:c>
      <x:c r="C119" s="1" t="d">
        <x:v>2026-02-13T00:00:00.000Z</x:v>
      </x:c>
      <x:c r="D119" t="str">
        <x:v>Finance</x:v>
      </x:c>
      <x:c r="E119" t="str">
        <x:v>Low</x:v>
      </x:c>
      <x:c r="F119" t="str">
        <x:v>Finance data</x:v>
      </x:c>
      <x:c r="G119" t="str">
        <x:v>Closed</x:v>
      </x:c>
      <x:c r="H119" t="n">
        <x:v>14</x:v>
      </x:c>
      <x:c r="I119" t="n">
        <x:v>15</x:v>
      </x:c>
      <x:c r="J119" t="n">
        <x:v>1</x:v>
      </x:c>
      <x:c r="K119" t="n">
        <x:v>0</x:v>
      </x:c>
      <x:c r="L119" t="n">
        <x:v>0</x:v>
      </x:c>
    </x:row>
    <x:row r="120">
      <x:c r="A120" t="str">
        <x:v>GOV-0116</x:v>
      </x:c>
      <x:c r="B120" s="1" t="d">
        <x:v>2026-06-12T00:00:00.000Z</x:v>
      </x:c>
      <x:c r="C120" s="1" t="d">
        <x:v>2026-06-20T00:00:00.000Z</x:v>
      </x:c>
      <x:c r="D120" t="str">
        <x:v>Supplier</x:v>
      </x:c>
      <x:c r="E120" t="str">
        <x:v>Low</x:v>
      </x:c>
      <x:c r="F120" t="str">
        <x:v>Procurement data</x:v>
      </x:c>
      <x:c r="G120" t="str">
        <x:v>Closed</x:v>
      </x:c>
      <x:c r="H120" t="n">
        <x:v>14</x:v>
      </x:c>
      <x:c r="I120" t="n">
        <x:v>8</x:v>
      </x:c>
      <x:c r="J120" t="n">
        <x:v>1</x:v>
      </x:c>
      <x:c r="K120" t="n">
        <x:v>1</x:v>
      </x:c>
      <x:c r="L120" t="n">
        <x:v>0</x:v>
      </x:c>
    </x:row>
    <x:row r="121">
      <x:c r="A121" t="str">
        <x:v>GOV-0117</x:v>
      </x:c>
      <x:c r="B121" s="1" t="d">
        <x:v>2026-06-01T00:00:00.000Z</x:v>
      </x:c>
      <x:c r="C121" s="1"/>
      <x:c r="D121" t="str">
        <x:v>Product</x:v>
      </x:c>
      <x:c r="E121" t="str">
        <x:v>Medium</x:v>
      </x:c>
      <x:c r="F121" t="str">
        <x:v>Product ops</x:v>
      </x:c>
      <x:c r="G121" t="str">
        <x:v>Open</x:v>
      </x:c>
      <x:c r="H121" t="n">
        <x:v>7</x:v>
      </x:c>
      <x:c r="I121" t="n">
        <x:v>29</x:v>
      </x:c>
      <x:c r="J121" t="n">
        <x:v>0</x:v>
      </x:c>
      <x:c r="K121" t="n">
        <x:v>0</x:v>
      </x:c>
      <x:c r="L121" t="n">
        <x:v>1</x:v>
      </x:c>
    </x:row>
    <x:row r="122">
      <x:c r="A122" t="str">
        <x:v>GOV-0118</x:v>
      </x:c>
      <x:c r="B122" s="1" t="d">
        <x:v>2026-05-22T00:00:00.000Z</x:v>
      </x:c>
      <x:c r="C122" s="1" t="d">
        <x:v>2026-06-03T00:00:00.000Z</x:v>
      </x:c>
      <x:c r="D122" t="str">
        <x:v>Customer</x:v>
      </x:c>
      <x:c r="E122" t="str">
        <x:v>Medium</x:v>
      </x:c>
      <x:c r="F122" t="str">
        <x:v>CRM stewardship</x:v>
      </x:c>
      <x:c r="G122" t="str">
        <x:v>Closed</x:v>
      </x:c>
      <x:c r="H122" t="n">
        <x:v>7</x:v>
      </x:c>
      <x:c r="I122" t="n">
        <x:v>12</x:v>
      </x:c>
      <x:c r="J122" t="n">
        <x:v>1</x:v>
      </x:c>
      <x:c r="K122" t="n">
        <x:v>0</x:v>
      </x:c>
      <x:c r="L122" t="n">
        <x:v>0</x:v>
      </x:c>
    </x:row>
    <x:row r="123">
      <x:c r="A123" t="str">
        <x:v>GOV-0119</x:v>
      </x:c>
      <x:c r="B123" s="1" t="d">
        <x:v>2026-05-02T00:00:00.000Z</x:v>
      </x:c>
      <x:c r="C123" s="1"/>
      <x:c r="D123" t="str">
        <x:v>Product</x:v>
      </x:c>
      <x:c r="E123" t="str">
        <x:v>High</x:v>
      </x:c>
      <x:c r="F123" t="str">
        <x:v>Product ops</x:v>
      </x:c>
      <x:c r="G123" t="str">
        <x:v>Open</x:v>
      </x:c>
      <x:c r="H123" t="n">
        <x:v>3</x:v>
      </x:c>
      <x:c r="I123" t="n">
        <x:v>59</x:v>
      </x:c>
      <x:c r="J123" t="n">
        <x:v>0</x:v>
      </x:c>
      <x:c r="K123" t="n">
        <x:v>0</x:v>
      </x:c>
      <x:c r="L123" t="n">
        <x:v>1</x:v>
      </x:c>
    </x:row>
    <x:row r="124">
      <x:c r="A124" t="str">
        <x:v>GOV-0120</x:v>
      </x:c>
      <x:c r="B124" s="1" t="d">
        <x:v>2026-06-01T00:00:00.000Z</x:v>
      </x:c>
      <x:c r="C124" s="1" t="d">
        <x:v>2026-06-22T00:00:00.000Z</x:v>
      </x:c>
      <x:c r="D124" t="str">
        <x:v>Supplier</x:v>
      </x:c>
      <x:c r="E124" t="str">
        <x:v>Medium</x:v>
      </x:c>
      <x:c r="F124" t="str">
        <x:v>Procurement data</x:v>
      </x:c>
      <x:c r="G124" t="str">
        <x:v>Closed</x:v>
      </x:c>
      <x:c r="H124" t="n">
        <x:v>7</x:v>
      </x:c>
      <x:c r="I124" t="n">
        <x:v>21</x:v>
      </x:c>
      <x:c r="J124" t="n">
        <x:v>1</x:v>
      </x:c>
      <x:c r="K124" t="n">
        <x:v>0</x:v>
      </x:c>
      <x:c r="L124" t="n">
        <x:v>0</x:v>
      </x:c>
    </x:row>
    <x:row r="125">
      <x:c r="A125" t="str">
        <x:v>GOV-0121</x:v>
      </x:c>
      <x:c r="B125" s="1" t="d">
        <x:v>2026-02-19T00:00:00.000Z</x:v>
      </x:c>
      <x:c r="C125" s="1" t="d">
        <x:v>2026-02-26T00:00:00.000Z</x:v>
      </x:c>
      <x:c r="D125" t="str">
        <x:v>Product</x:v>
      </x:c>
      <x:c r="E125" t="str">
        <x:v>Low</x:v>
      </x:c>
      <x:c r="F125" t="str">
        <x:v>Product ops</x:v>
      </x:c>
      <x:c r="G125" t="str">
        <x:v>Closed</x:v>
      </x:c>
      <x:c r="H125" t="n">
        <x:v>14</x:v>
      </x:c>
      <x:c r="I125" t="n">
        <x:v>7</x:v>
      </x:c>
      <x:c r="J125" t="n">
        <x:v>1</x:v>
      </x:c>
      <x:c r="K125" t="n">
        <x:v>1</x:v>
      </x:c>
      <x:c r="L125" t="n">
        <x:v>0</x:v>
      </x:c>
    </x:row>
    <x:row r="126">
      <x:c r="A126" t="str">
        <x:v>GOV-0122</x:v>
      </x:c>
      <x:c r="B126" s="1" t="d">
        <x:v>2026-06-07T00:00:00.000Z</x:v>
      </x:c>
      <x:c r="C126" s="1" t="d">
        <x:v>2026-06-25T00:00:00.000Z</x:v>
      </x:c>
      <x:c r="D126" t="str">
        <x:v>Customer</x:v>
      </x:c>
      <x:c r="E126" t="str">
        <x:v>Medium</x:v>
      </x:c>
      <x:c r="F126" t="str">
        <x:v>CRM stewardship</x:v>
      </x:c>
      <x:c r="G126" t="str">
        <x:v>Closed</x:v>
      </x:c>
      <x:c r="H126" t="n">
        <x:v>7</x:v>
      </x:c>
      <x:c r="I126" t="n">
        <x:v>18</x:v>
      </x:c>
      <x:c r="J126" t="n">
        <x:v>1</x:v>
      </x:c>
      <x:c r="K126" t="n">
        <x:v>0</x:v>
      </x:c>
      <x:c r="L126" t="n">
        <x:v>0</x:v>
      </x:c>
    </x:row>
    <x:row r="127">
      <x:c r="A127" t="str">
        <x:v>GOV-0123</x:v>
      </x:c>
      <x:c r="B127" s="1" t="d">
        <x:v>2026-06-05T00:00:00.000Z</x:v>
      </x:c>
      <x:c r="C127" s="1" t="d">
        <x:v>2026-06-20T00:00:00.000Z</x:v>
      </x:c>
      <x:c r="D127" t="str">
        <x:v>Product</x:v>
      </x:c>
      <x:c r="E127" t="str">
        <x:v>Medium</x:v>
      </x:c>
      <x:c r="F127" t="str">
        <x:v>Product ops</x:v>
      </x:c>
      <x:c r="G127" t="str">
        <x:v>Closed</x:v>
      </x:c>
      <x:c r="H127" t="n">
        <x:v>7</x:v>
      </x:c>
      <x:c r="I127" t="n">
        <x:v>15</x:v>
      </x:c>
      <x:c r="J127" t="n">
        <x:v>1</x:v>
      </x:c>
      <x:c r="K127" t="n">
        <x:v>0</x:v>
      </x:c>
      <x:c r="L127" t="n">
        <x:v>0</x:v>
      </x:c>
    </x:row>
    <x:row r="128">
      <x:c r="A128" t="str">
        <x:v>GOV-0124</x:v>
      </x:c>
      <x:c r="B128" s="1" t="d">
        <x:v>2026-06-19T00:00:00.000Z</x:v>
      </x:c>
      <x:c r="C128" s="1"/>
      <x:c r="D128" t="str">
        <x:v>Finance</x:v>
      </x:c>
      <x:c r="E128" t="str">
        <x:v>Low</x:v>
      </x:c>
      <x:c r="F128" t="str">
        <x:v>Finance data</x:v>
      </x:c>
      <x:c r="G128" t="str">
        <x:v>Open</x:v>
      </x:c>
      <x:c r="H128" t="n">
        <x:v>14</x:v>
      </x:c>
      <x:c r="I128" t="n">
        <x:v>11</x:v>
      </x:c>
      <x:c r="J128" t="n">
        <x:v>0</x:v>
      </x:c>
      <x:c r="K128" t="n">
        <x:v>0</x:v>
      </x:c>
      <x:c r="L128" t="n">
        <x:v>0</x:v>
      </x:c>
    </x:row>
    <x:row r="129">
      <x:c r="A129" t="str">
        <x:v>GOV-0125</x:v>
      </x:c>
      <x:c r="B129" s="1" t="d">
        <x:v>2026-03-15T00:00:00.000Z</x:v>
      </x:c>
      <x:c r="C129" s="1" t="d">
        <x:v>2026-04-03T00:00:00.000Z</x:v>
      </x:c>
      <x:c r="D129" t="str">
        <x:v>Supplier</x:v>
      </x:c>
      <x:c r="E129" t="str">
        <x:v>Medium</x:v>
      </x:c>
      <x:c r="F129" t="str">
        <x:v>Procurement data</x:v>
      </x:c>
      <x:c r="G129" t="str">
        <x:v>Closed</x:v>
      </x:c>
      <x:c r="H129" t="n">
        <x:v>7</x:v>
      </x:c>
      <x:c r="I129" t="n">
        <x:v>19</x:v>
      </x:c>
      <x:c r="J129" t="n">
        <x:v>1</x:v>
      </x:c>
      <x:c r="K129" t="n">
        <x:v>0</x:v>
      </x:c>
      <x:c r="L129" t="n">
        <x:v>0</x:v>
      </x:c>
    </x:row>
    <x:row r="130">
      <x:c r="A130" t="str">
        <x:v>GOV-0126</x:v>
      </x:c>
      <x:c r="B130" s="1" t="d">
        <x:v>2026-06-02T00:00:00.000Z</x:v>
      </x:c>
      <x:c r="C130" s="1"/>
      <x:c r="D130" t="str">
        <x:v>Product</x:v>
      </x:c>
      <x:c r="E130" t="str">
        <x:v>Medium</x:v>
      </x:c>
      <x:c r="F130" t="str">
        <x:v>Product ops</x:v>
      </x:c>
      <x:c r="G130" t="str">
        <x:v>Open</x:v>
      </x:c>
      <x:c r="H130" t="n">
        <x:v>7</x:v>
      </x:c>
      <x:c r="I130" t="n">
        <x:v>28</x:v>
      </x:c>
      <x:c r="J130" t="n">
        <x:v>0</x:v>
      </x:c>
      <x:c r="K130" t="n">
        <x:v>0</x:v>
      </x:c>
      <x:c r="L130" t="n">
        <x:v>1</x:v>
      </x:c>
    </x:row>
    <x:row r="131">
      <x:c r="A131" t="str">
        <x:v>GOV-0127</x:v>
      </x:c>
      <x:c r="B131" s="1" t="d">
        <x:v>2026-04-03T00:00:00.000Z</x:v>
      </x:c>
      <x:c r="C131" s="1" t="d">
        <x:v>2026-04-09T00:00:00.000Z</x:v>
      </x:c>
      <x:c r="D131" t="str">
        <x:v>Supplier</x:v>
      </x:c>
      <x:c r="E131" t="str">
        <x:v>Medium</x:v>
      </x:c>
      <x:c r="F131" t="str">
        <x:v>Procurement data</x:v>
      </x:c>
      <x:c r="G131" t="str">
        <x:v>Closed</x:v>
      </x:c>
      <x:c r="H131" t="n">
        <x:v>7</x:v>
      </x:c>
      <x:c r="I131" t="n">
        <x:v>6</x:v>
      </x:c>
      <x:c r="J131" t="n">
        <x:v>1</x:v>
      </x:c>
      <x:c r="K131" t="n">
        <x:v>1</x:v>
      </x:c>
      <x:c r="L131" t="n">
        <x:v>0</x:v>
      </x:c>
    </x:row>
    <x:row r="132">
      <x:c r="A132" t="str">
        <x:v>GOV-0128</x:v>
      </x:c>
      <x:c r="B132" s="1" t="d">
        <x:v>2026-06-19T00:00:00.000Z</x:v>
      </x:c>
      <x:c r="C132" s="1"/>
      <x:c r="D132" t="str">
        <x:v>Product</x:v>
      </x:c>
      <x:c r="E132" t="str">
        <x:v>Medium</x:v>
      </x:c>
      <x:c r="F132" t="str">
        <x:v>Product ops</x:v>
      </x:c>
      <x:c r="G132" t="str">
        <x:v>Open</x:v>
      </x:c>
      <x:c r="H132" t="n">
        <x:v>7</x:v>
      </x:c>
      <x:c r="I132" t="n">
        <x:v>11</x:v>
      </x:c>
      <x:c r="J132" t="n">
        <x:v>0</x:v>
      </x:c>
      <x:c r="K132" t="n">
        <x:v>0</x:v>
      </x:c>
      <x:c r="L132" t="n">
        <x:v>1</x:v>
      </x:c>
    </x:row>
    <x:row r="133">
      <x:c r="A133" t="str">
        <x:v>GOV-0129</x:v>
      </x:c>
      <x:c r="B133" s="1" t="d">
        <x:v>2026-06-23T00:00:00.000Z</x:v>
      </x:c>
      <x:c r="C133" s="1"/>
      <x:c r="D133" t="str">
        <x:v>Customer</x:v>
      </x:c>
      <x:c r="E133" t="str">
        <x:v>High</x:v>
      </x:c>
      <x:c r="F133" t="str">
        <x:v>CRM stewardship</x:v>
      </x:c>
      <x:c r="G133" t="str">
        <x:v>Open</x:v>
      </x:c>
      <x:c r="H133" t="n">
        <x:v>3</x:v>
      </x:c>
      <x:c r="I133" t="n">
        <x:v>7</x:v>
      </x:c>
      <x:c r="J133" t="n">
        <x:v>0</x:v>
      </x:c>
      <x:c r="K133" t="n">
        <x:v>0</x:v>
      </x:c>
      <x:c r="L133" t="n">
        <x:v>1</x:v>
      </x:c>
    </x:row>
    <x:row r="134">
      <x:c r="A134" t="str">
        <x:v>GOV-0130</x:v>
      </x:c>
      <x:c r="B134" s="1" t="d">
        <x:v>2026-01-18T00:00:00.000Z</x:v>
      </x:c>
      <x:c r="C134" s="1" t="d">
        <x:v>2026-01-29T00:00:00.000Z</x:v>
      </x:c>
      <x:c r="D134" t="str">
        <x:v>Customer</x:v>
      </x:c>
      <x:c r="E134" t="str">
        <x:v>Low</x:v>
      </x:c>
      <x:c r="F134" t="str">
        <x:v>CRM stewardship</x:v>
      </x:c>
      <x:c r="G134" t="str">
        <x:v>Closed</x:v>
      </x:c>
      <x:c r="H134" t="n">
        <x:v>14</x:v>
      </x:c>
      <x:c r="I134" t="n">
        <x:v>11</x:v>
      </x:c>
      <x:c r="J134" t="n">
        <x:v>1</x:v>
      </x:c>
      <x:c r="K134" t="n">
        <x:v>1</x:v>
      </x:c>
      <x:c r="L134" t="n">
        <x:v>0</x:v>
      </x:c>
    </x:row>
    <x:row r="135">
      <x:c r="A135" t="str">
        <x:v>GOV-0131</x:v>
      </x:c>
      <x:c r="B135" s="1" t="d">
        <x:v>2026-01-13T00:00:00.000Z</x:v>
      </x:c>
      <x:c r="C135" s="1" t="d">
        <x:v>2026-01-21T00:00:00.000Z</x:v>
      </x:c>
      <x:c r="D135" t="str">
        <x:v>Customer</x:v>
      </x:c>
      <x:c r="E135" t="str">
        <x:v>Low</x:v>
      </x:c>
      <x:c r="F135" t="str">
        <x:v>CRM stewardship</x:v>
      </x:c>
      <x:c r="G135" t="str">
        <x:v>Closed</x:v>
      </x:c>
      <x:c r="H135" t="n">
        <x:v>14</x:v>
      </x:c>
      <x:c r="I135" t="n">
        <x:v>8</x:v>
      </x:c>
      <x:c r="J135" t="n">
        <x:v>1</x:v>
      </x:c>
      <x:c r="K135" t="n">
        <x:v>1</x:v>
      </x:c>
      <x:c r="L135" t="n">
        <x:v>0</x:v>
      </x:c>
    </x:row>
    <x:row r="136">
      <x:c r="A136" t="str">
        <x:v>GOV-0132</x:v>
      </x:c>
      <x:c r="B136" s="1" t="d">
        <x:v>2026-04-15T00:00:00.000Z</x:v>
      </x:c>
      <x:c r="C136" s="1"/>
      <x:c r="D136" t="str">
        <x:v>Finance</x:v>
      </x:c>
      <x:c r="E136" t="str">
        <x:v>Medium</x:v>
      </x:c>
      <x:c r="F136" t="str">
        <x:v>Finance data</x:v>
      </x:c>
      <x:c r="G136" t="str">
        <x:v>Open</x:v>
      </x:c>
      <x:c r="H136" t="n">
        <x:v>7</x:v>
      </x:c>
      <x:c r="I136" t="n">
        <x:v>76</x:v>
      </x:c>
      <x:c r="J136" t="n">
        <x:v>0</x:v>
      </x:c>
      <x:c r="K136" t="n">
        <x:v>0</x:v>
      </x:c>
      <x:c r="L136" t="n">
        <x:v>1</x:v>
      </x:c>
    </x:row>
    <x:row r="137">
      <x:c r="A137" t="str">
        <x:v>GOV-0133</x:v>
      </x:c>
      <x:c r="B137" s="1" t="d">
        <x:v>2026-04-01T00:00:00.000Z</x:v>
      </x:c>
      <x:c r="C137" s="1" t="d">
        <x:v>2026-04-05T00:00:00.000Z</x:v>
      </x:c>
      <x:c r="D137" t="str">
        <x:v>Finance</x:v>
      </x:c>
      <x:c r="E137" t="str">
        <x:v>Medium</x:v>
      </x:c>
      <x:c r="F137" t="str">
        <x:v>Finance data</x:v>
      </x:c>
      <x:c r="G137" t="str">
        <x:v>Closed</x:v>
      </x:c>
      <x:c r="H137" t="n">
        <x:v>7</x:v>
      </x:c>
      <x:c r="I137" t="n">
        <x:v>4</x:v>
      </x:c>
      <x:c r="J137" t="n">
        <x:v>1</x:v>
      </x:c>
      <x:c r="K137" t="n">
        <x:v>1</x:v>
      </x:c>
      <x:c r="L137" t="n">
        <x:v>0</x:v>
      </x:c>
    </x:row>
    <x:row r="138">
      <x:c r="A138" t="str">
        <x:v>GOV-0134</x:v>
      </x:c>
      <x:c r="B138" s="1" t="d">
        <x:v>2026-05-10T00:00:00.000Z</x:v>
      </x:c>
      <x:c r="C138" s="1" t="d">
        <x:v>2026-05-16T00:00:00.000Z</x:v>
      </x:c>
      <x:c r="D138" t="str">
        <x:v>Finance</x:v>
      </x:c>
      <x:c r="E138" t="str">
        <x:v>Low</x:v>
      </x:c>
      <x:c r="F138" t="str">
        <x:v>Finance data</x:v>
      </x:c>
      <x:c r="G138" t="str">
        <x:v>Closed</x:v>
      </x:c>
      <x:c r="H138" t="n">
        <x:v>14</x:v>
      </x:c>
      <x:c r="I138" t="n">
        <x:v>6</x:v>
      </x:c>
      <x:c r="J138" t="n">
        <x:v>1</x:v>
      </x:c>
      <x:c r="K138" t="n">
        <x:v>1</x:v>
      </x:c>
      <x:c r="L138" t="n">
        <x:v>0</x:v>
      </x:c>
    </x:row>
    <x:row r="139">
      <x:c r="A139" t="str">
        <x:v>GOV-0135</x:v>
      </x:c>
      <x:c r="B139" s="1" t="d">
        <x:v>2026-04-03T00:00:00.000Z</x:v>
      </x:c>
      <x:c r="C139" s="1" t="d">
        <x:v>2026-04-08T00:00:00.000Z</x:v>
      </x:c>
      <x:c r="D139" t="str">
        <x:v>Finance</x:v>
      </x:c>
      <x:c r="E139" t="str">
        <x:v>Medium</x:v>
      </x:c>
      <x:c r="F139" t="str">
        <x:v>Finance data</x:v>
      </x:c>
      <x:c r="G139" t="str">
        <x:v>Closed</x:v>
      </x:c>
      <x:c r="H139" t="n">
        <x:v>7</x:v>
      </x:c>
      <x:c r="I139" t="n">
        <x:v>5</x:v>
      </x:c>
      <x:c r="J139" t="n">
        <x:v>1</x:v>
      </x:c>
      <x:c r="K139" t="n">
        <x:v>1</x:v>
      </x:c>
      <x:c r="L139" t="n">
        <x:v>0</x:v>
      </x:c>
    </x:row>
    <x:row r="140">
      <x:c r="A140" t="str">
        <x:v>GOV-0136</x:v>
      </x:c>
      <x:c r="B140" s="1" t="d">
        <x:v>2026-03-18T00:00:00.000Z</x:v>
      </x:c>
      <x:c r="C140" s="1" t="d">
        <x:v>2026-04-03T00:00:00.000Z</x:v>
      </x:c>
      <x:c r="D140" t="str">
        <x:v>Product</x:v>
      </x:c>
      <x:c r="E140" t="str">
        <x:v>Medium</x:v>
      </x:c>
      <x:c r="F140" t="str">
        <x:v>Product ops</x:v>
      </x:c>
      <x:c r="G140" t="str">
        <x:v>Closed</x:v>
      </x:c>
      <x:c r="H140" t="n">
        <x:v>7</x:v>
      </x:c>
      <x:c r="I140" t="n">
        <x:v>16</x:v>
      </x:c>
      <x:c r="J140" t="n">
        <x:v>1</x:v>
      </x:c>
      <x:c r="K140" t="n">
        <x:v>0</x:v>
      </x:c>
      <x:c r="L140" t="n">
        <x:v>0</x:v>
      </x:c>
    </x:row>
    <x:row r="141">
      <x:c r="A141" t="str">
        <x:v>GOV-0137</x:v>
      </x:c>
      <x:c r="B141" s="1" t="d">
        <x:v>2026-02-04T00:00:00.000Z</x:v>
      </x:c>
      <x:c r="C141" s="1"/>
      <x:c r="D141" t="str">
        <x:v>Customer</x:v>
      </x:c>
      <x:c r="E141" t="str">
        <x:v>Medium</x:v>
      </x:c>
      <x:c r="F141" t="str">
        <x:v>CRM stewardship</x:v>
      </x:c>
      <x:c r="G141" t="str">
        <x:v>Open</x:v>
      </x:c>
      <x:c r="H141" t="n">
        <x:v>7</x:v>
      </x:c>
      <x:c r="I141" t="n">
        <x:v>146</x:v>
      </x:c>
      <x:c r="J141" t="n">
        <x:v>0</x:v>
      </x:c>
      <x:c r="K141" t="n">
        <x:v>0</x:v>
      </x:c>
      <x:c r="L141" t="n">
        <x:v>1</x:v>
      </x:c>
    </x:row>
    <x:row r="142">
      <x:c r="A142" t="str">
        <x:v>GOV-0138</x:v>
      </x:c>
      <x:c r="B142" s="1" t="d">
        <x:v>2026-03-09T00:00:00.000Z</x:v>
      </x:c>
      <x:c r="C142" s="1" t="d">
        <x:v>2026-03-25T00:00:00.000Z</x:v>
      </x:c>
      <x:c r="D142" t="str">
        <x:v>Customer</x:v>
      </x:c>
      <x:c r="E142" t="str">
        <x:v>Medium</x:v>
      </x:c>
      <x:c r="F142" t="str">
        <x:v>CRM stewardship</x:v>
      </x:c>
      <x:c r="G142" t="str">
        <x:v>Closed</x:v>
      </x:c>
      <x:c r="H142" t="n">
        <x:v>7</x:v>
      </x:c>
      <x:c r="I142" t="n">
        <x:v>16</x:v>
      </x:c>
      <x:c r="J142" t="n">
        <x:v>1</x:v>
      </x:c>
      <x:c r="K142" t="n">
        <x:v>0</x:v>
      </x:c>
      <x:c r="L142" t="n">
        <x:v>0</x:v>
      </x:c>
    </x:row>
    <x:row r="143">
      <x:c r="A143" t="str">
        <x:v>GOV-0139</x:v>
      </x:c>
      <x:c r="B143" s="1" t="d">
        <x:v>2026-03-25T00:00:00.000Z</x:v>
      </x:c>
      <x:c r="C143" s="1"/>
      <x:c r="D143" t="str">
        <x:v>Finance</x:v>
      </x:c>
      <x:c r="E143" t="str">
        <x:v>Low</x:v>
      </x:c>
      <x:c r="F143" t="str">
        <x:v>Finance data</x:v>
      </x:c>
      <x:c r="G143" t="str">
        <x:v>Open</x:v>
      </x:c>
      <x:c r="H143" t="n">
        <x:v>14</x:v>
      </x:c>
      <x:c r="I143" t="n">
        <x:v>97</x:v>
      </x:c>
      <x:c r="J143" t="n">
        <x:v>0</x:v>
      </x:c>
      <x:c r="K143" t="n">
        <x:v>0</x:v>
      </x:c>
      <x:c r="L143" t="n">
        <x:v>1</x:v>
      </x:c>
    </x:row>
    <x:row r="144">
      <x:c r="A144" t="str">
        <x:v>GOV-0140</x:v>
      </x:c>
      <x:c r="B144" s="1" t="d">
        <x:v>2026-04-12T00:00:00.000Z</x:v>
      </x:c>
      <x:c r="C144" s="1" t="d">
        <x:v>2026-04-21T00:00:00.000Z</x:v>
      </x:c>
      <x:c r="D144" t="str">
        <x:v>Customer</x:v>
      </x:c>
      <x:c r="E144" t="str">
        <x:v>Low</x:v>
      </x:c>
      <x:c r="F144" t="str">
        <x:v>CRM stewardship</x:v>
      </x:c>
      <x:c r="G144" t="str">
        <x:v>Closed</x:v>
      </x:c>
      <x:c r="H144" t="n">
        <x:v>14</x:v>
      </x:c>
      <x:c r="I144" t="n">
        <x:v>9</x:v>
      </x:c>
      <x:c r="J144" t="n">
        <x:v>1</x:v>
      </x:c>
      <x:c r="K144" t="n">
        <x:v>1</x:v>
      </x:c>
      <x:c r="L144" t="n">
        <x:v>0</x:v>
      </x:c>
    </x:row>
    <x:row r="145">
      <x:c r="A145" t="str">
        <x:v>GOV-0141</x:v>
      </x:c>
      <x:c r="B145" s="1" t="d">
        <x:v>2026-01-02T00:00:00.000Z</x:v>
      </x:c>
      <x:c r="C145" s="1" t="d">
        <x:v>2026-01-12T00:00:00.000Z</x:v>
      </x:c>
      <x:c r="D145" t="str">
        <x:v>Finance</x:v>
      </x:c>
      <x:c r="E145" t="str">
        <x:v>High</x:v>
      </x:c>
      <x:c r="F145" t="str">
        <x:v>Finance data</x:v>
      </x:c>
      <x:c r="G145" t="str">
        <x:v>Closed</x:v>
      </x:c>
      <x:c r="H145" t="n">
        <x:v>3</x:v>
      </x:c>
      <x:c r="I145" t="n">
        <x:v>10</x:v>
      </x:c>
      <x:c r="J145" t="n">
        <x:v>1</x:v>
      </x:c>
      <x:c r="K145" t="n">
        <x:v>0</x:v>
      </x:c>
      <x:c r="L145" t="n">
        <x:v>0</x:v>
      </x:c>
    </x:row>
    <x:row r="146">
      <x:c r="A146" t="str">
        <x:v>GOV-0142</x:v>
      </x:c>
      <x:c r="B146" s="1" t="d">
        <x:v>2026-04-28T00:00:00.000Z</x:v>
      </x:c>
      <x:c r="C146" s="1" t="d">
        <x:v>2026-05-06T00:00:00.000Z</x:v>
      </x:c>
      <x:c r="D146" t="str">
        <x:v>Product</x:v>
      </x:c>
      <x:c r="E146" t="str">
        <x:v>Medium</x:v>
      </x:c>
      <x:c r="F146" t="str">
        <x:v>Product ops</x:v>
      </x:c>
      <x:c r="G146" t="str">
        <x:v>Closed</x:v>
      </x:c>
      <x:c r="H146" t="n">
        <x:v>7</x:v>
      </x:c>
      <x:c r="I146" t="n">
        <x:v>8</x:v>
      </x:c>
      <x:c r="J146" t="n">
        <x:v>1</x:v>
      </x:c>
      <x:c r="K146" t="n">
        <x:v>0</x:v>
      </x:c>
      <x:c r="L146" t="n">
        <x:v>0</x:v>
      </x:c>
    </x:row>
    <x:row r="147">
      <x:c r="A147" t="str">
        <x:v>GOV-0143</x:v>
      </x:c>
      <x:c r="B147" s="1" t="d">
        <x:v>2026-06-01T00:00:00.000Z</x:v>
      </x:c>
      <x:c r="C147" s="1" t="d">
        <x:v>2026-06-05T00:00:00.000Z</x:v>
      </x:c>
      <x:c r="D147" t="str">
        <x:v>Customer</x:v>
      </x:c>
      <x:c r="E147" t="str">
        <x:v>Low</x:v>
      </x:c>
      <x:c r="F147" t="str">
        <x:v>CRM stewardship</x:v>
      </x:c>
      <x:c r="G147" t="str">
        <x:v>Closed</x:v>
      </x:c>
      <x:c r="H147" t="n">
        <x:v>14</x:v>
      </x:c>
      <x:c r="I147" t="n">
        <x:v>4</x:v>
      </x:c>
      <x:c r="J147" t="n">
        <x:v>1</x:v>
      </x:c>
      <x:c r="K147" t="n">
        <x:v>1</x:v>
      </x:c>
      <x:c r="L147" t="n">
        <x:v>0</x:v>
      </x:c>
    </x:row>
    <x:row r="148">
      <x:c r="A148" t="str">
        <x:v>GOV-0144</x:v>
      </x:c>
      <x:c r="B148" s="1" t="d">
        <x:v>2026-05-13T00:00:00.000Z</x:v>
      </x:c>
      <x:c r="C148" s="1"/>
      <x:c r="D148" t="str">
        <x:v>Supplier</x:v>
      </x:c>
      <x:c r="E148" t="str">
        <x:v>Medium</x:v>
      </x:c>
      <x:c r="F148" t="str">
        <x:v>Procurement data</x:v>
      </x:c>
      <x:c r="G148" t="str">
        <x:v>Open</x:v>
      </x:c>
      <x:c r="H148" t="n">
        <x:v>7</x:v>
      </x:c>
      <x:c r="I148" t="n">
        <x:v>48</x:v>
      </x:c>
      <x:c r="J148" t="n">
        <x:v>0</x:v>
      </x:c>
      <x:c r="K148" t="n">
        <x:v>0</x:v>
      </x:c>
      <x:c r="L148" t="n">
        <x:v>1</x:v>
      </x:c>
    </x:row>
    <x:row r="149">
      <x:c r="A149" t="str">
        <x:v>GOV-0145</x:v>
      </x:c>
      <x:c r="B149" s="1" t="d">
        <x:v>2026-06-29T00:00:00.000Z</x:v>
      </x:c>
      <x:c r="C149" s="1"/>
      <x:c r="D149" t="str">
        <x:v>Product</x:v>
      </x:c>
      <x:c r="E149" t="str">
        <x:v>Medium</x:v>
      </x:c>
      <x:c r="F149" t="str">
        <x:v>Product ops</x:v>
      </x:c>
      <x:c r="G149" t="str">
        <x:v>Open</x:v>
      </x:c>
      <x:c r="H149" t="n">
        <x:v>7</x:v>
      </x:c>
      <x:c r="I149" t="n">
        <x:v>1</x:v>
      </x:c>
      <x:c r="J149" t="n">
        <x:v>0</x:v>
      </x:c>
      <x:c r="K149" t="n">
        <x:v>0</x:v>
      </x:c>
      <x:c r="L149" t="n">
        <x:v>0</x:v>
      </x:c>
    </x:row>
    <x:row r="150">
      <x:c r="A150" t="str">
        <x:v>GOV-0146</x:v>
      </x:c>
      <x:c r="B150" s="1" t="d">
        <x:v>2026-06-04T00:00:00.000Z</x:v>
      </x:c>
      <x:c r="C150" s="1" t="d">
        <x:v>2026-06-11T00:00:00.000Z</x:v>
      </x:c>
      <x:c r="D150" t="str">
        <x:v>Supplier</x:v>
      </x:c>
      <x:c r="E150" t="str">
        <x:v>Medium</x:v>
      </x:c>
      <x:c r="F150" t="str">
        <x:v>Procurement data</x:v>
      </x:c>
      <x:c r="G150" t="str">
        <x:v>Closed</x:v>
      </x:c>
      <x:c r="H150" t="n">
        <x:v>7</x:v>
      </x:c>
      <x:c r="I150" t="n">
        <x:v>7</x:v>
      </x:c>
      <x:c r="J150" t="n">
        <x:v>1</x:v>
      </x:c>
      <x:c r="K150" t="n">
        <x:v>1</x:v>
      </x:c>
      <x:c r="L150" t="n">
        <x:v>0</x:v>
      </x:c>
    </x:row>
    <x:row r="151">
      <x:c r="A151" t="str">
        <x:v>GOV-0147</x:v>
      </x:c>
      <x:c r="B151" s="1" t="d">
        <x:v>2026-05-21T00:00:00.000Z</x:v>
      </x:c>
      <x:c r="C151" s="1" t="d">
        <x:v>2026-06-01T00:00:00.000Z</x:v>
      </x:c>
      <x:c r="D151" t="str">
        <x:v>Product</x:v>
      </x:c>
      <x:c r="E151" t="str">
        <x:v>Medium</x:v>
      </x:c>
      <x:c r="F151" t="str">
        <x:v>Product ops</x:v>
      </x:c>
      <x:c r="G151" t="str">
        <x:v>Closed</x:v>
      </x:c>
      <x:c r="H151" t="n">
        <x:v>7</x:v>
      </x:c>
      <x:c r="I151" t="n">
        <x:v>11</x:v>
      </x:c>
      <x:c r="J151" t="n">
        <x:v>1</x:v>
      </x:c>
      <x:c r="K151" t="n">
        <x:v>0</x:v>
      </x:c>
      <x:c r="L151" t="n">
        <x:v>0</x:v>
      </x:c>
    </x:row>
    <x:row r="152">
      <x:c r="A152" t="str">
        <x:v>GOV-0148</x:v>
      </x:c>
      <x:c r="B152" s="1" t="d">
        <x:v>2026-03-02T00:00:00.000Z</x:v>
      </x:c>
      <x:c r="C152" s="1" t="d">
        <x:v>2026-03-13T00:00:00.000Z</x:v>
      </x:c>
      <x:c r="D152" t="str">
        <x:v>Product</x:v>
      </x:c>
      <x:c r="E152" t="str">
        <x:v>Medium</x:v>
      </x:c>
      <x:c r="F152" t="str">
        <x:v>Product ops</x:v>
      </x:c>
      <x:c r="G152" t="str">
        <x:v>Closed</x:v>
      </x:c>
      <x:c r="H152" t="n">
        <x:v>7</x:v>
      </x:c>
      <x:c r="I152" t="n">
        <x:v>11</x:v>
      </x:c>
      <x:c r="J152" t="n">
        <x:v>1</x:v>
      </x:c>
      <x:c r="K152" t="n">
        <x:v>0</x:v>
      </x:c>
      <x:c r="L152" t="n">
        <x:v>0</x:v>
      </x:c>
    </x:row>
    <x:row r="153">
      <x:c r="A153" t="str">
        <x:v>GOV-0149</x:v>
      </x:c>
      <x:c r="B153" s="1" t="d">
        <x:v>2026-03-08T00:00:00.000Z</x:v>
      </x:c>
      <x:c r="C153" s="1" t="d">
        <x:v>2026-03-18T00:00:00.000Z</x:v>
      </x:c>
      <x:c r="D153" t="str">
        <x:v>Product</x:v>
      </x:c>
      <x:c r="E153" t="str">
        <x:v>Low</x:v>
      </x:c>
      <x:c r="F153" t="str">
        <x:v>Product ops</x:v>
      </x:c>
      <x:c r="G153" t="str">
        <x:v>Closed</x:v>
      </x:c>
      <x:c r="H153" t="n">
        <x:v>14</x:v>
      </x:c>
      <x:c r="I153" t="n">
        <x:v>10</x:v>
      </x:c>
      <x:c r="J153" t="n">
        <x:v>1</x:v>
      </x:c>
      <x:c r="K153" t="n">
        <x:v>1</x:v>
      </x:c>
      <x:c r="L153" t="n">
        <x:v>0</x:v>
      </x:c>
    </x:row>
    <x:row r="154">
      <x:c r="A154" t="str">
        <x:v>GOV-0150</x:v>
      </x:c>
      <x:c r="B154" s="1" t="d">
        <x:v>2026-02-04T00:00:00.000Z</x:v>
      </x:c>
      <x:c r="C154" s="1" t="d">
        <x:v>2026-02-13T00:00:00.000Z</x:v>
      </x:c>
      <x:c r="D154" t="str">
        <x:v>Supplier</x:v>
      </x:c>
      <x:c r="E154" t="str">
        <x:v>High</x:v>
      </x:c>
      <x:c r="F154" t="str">
        <x:v>Procurement data</x:v>
      </x:c>
      <x:c r="G154" t="str">
        <x:v>Closed</x:v>
      </x:c>
      <x:c r="H154" t="n">
        <x:v>3</x:v>
      </x:c>
      <x:c r="I154" t="n">
        <x:v>9</x:v>
      </x:c>
      <x:c r="J154" t="n">
        <x:v>1</x:v>
      </x:c>
      <x:c r="K154" t="n">
        <x:v>0</x:v>
      </x:c>
      <x:c r="L154" t="n">
        <x:v>0</x:v>
      </x:c>
    </x:row>
    <x:row r="155">
      <x:c r="A155" t="str">
        <x:v>GOV-0151</x:v>
      </x:c>
      <x:c r="B155" s="1" t="d">
        <x:v>2026-03-29T00:00:00.000Z</x:v>
      </x:c>
      <x:c r="C155" s="1" t="d">
        <x:v>2026-04-14T00:00:00.000Z</x:v>
      </x:c>
      <x:c r="D155" t="str">
        <x:v>Supplier</x:v>
      </x:c>
      <x:c r="E155" t="str">
        <x:v>Medium</x:v>
      </x:c>
      <x:c r="F155" t="str">
        <x:v>Procurement data</x:v>
      </x:c>
      <x:c r="G155" t="str">
        <x:v>Closed</x:v>
      </x:c>
      <x:c r="H155" t="n">
        <x:v>7</x:v>
      </x:c>
      <x:c r="I155" t="n">
        <x:v>16</x:v>
      </x:c>
      <x:c r="J155" t="n">
        <x:v>1</x:v>
      </x:c>
      <x:c r="K155" t="n">
        <x:v>0</x:v>
      </x:c>
      <x:c r="L155" t="n">
        <x:v>0</x:v>
      </x:c>
    </x:row>
    <x:row r="156">
      <x:c r="A156" t="str">
        <x:v>GOV-0152</x:v>
      </x:c>
      <x:c r="B156" s="1" t="d">
        <x:v>2026-01-24T00:00:00.000Z</x:v>
      </x:c>
      <x:c r="C156" s="1" t="d">
        <x:v>2026-02-07T00:00:00.000Z</x:v>
      </x:c>
      <x:c r="D156" t="str">
        <x:v>Product</x:v>
      </x:c>
      <x:c r="E156" t="str">
        <x:v>Medium</x:v>
      </x:c>
      <x:c r="F156" t="str">
        <x:v>Product ops</x:v>
      </x:c>
      <x:c r="G156" t="str">
        <x:v>Closed</x:v>
      </x:c>
      <x:c r="H156" t="n">
        <x:v>7</x:v>
      </x:c>
      <x:c r="I156" t="n">
        <x:v>14</x:v>
      </x:c>
      <x:c r="J156" t="n">
        <x:v>1</x:v>
      </x:c>
      <x:c r="K156" t="n">
        <x:v>0</x:v>
      </x:c>
      <x:c r="L156" t="n">
        <x:v>0</x:v>
      </x:c>
    </x:row>
    <x:row r="157">
      <x:c r="A157" t="str">
        <x:v>GOV-0153</x:v>
      </x:c>
      <x:c r="B157" s="1" t="d">
        <x:v>2026-06-09T00:00:00.000Z</x:v>
      </x:c>
      <x:c r="C157" s="1" t="d">
        <x:v>2026-06-21T00:00:00.000Z</x:v>
      </x:c>
      <x:c r="D157" t="str">
        <x:v>Customer</x:v>
      </x:c>
      <x:c r="E157" t="str">
        <x:v>Low</x:v>
      </x:c>
      <x:c r="F157" t="str">
        <x:v>CRM stewardship</x:v>
      </x:c>
      <x:c r="G157" t="str">
        <x:v>Closed</x:v>
      </x:c>
      <x:c r="H157" t="n">
        <x:v>14</x:v>
      </x:c>
      <x:c r="I157" t="n">
        <x:v>12</x:v>
      </x:c>
      <x:c r="J157" t="n">
        <x:v>1</x:v>
      </x:c>
      <x:c r="K157" t="n">
        <x:v>1</x:v>
      </x:c>
      <x:c r="L157" t="n">
        <x:v>0</x:v>
      </x:c>
    </x:row>
    <x:row r="158">
      <x:c r="A158" t="str">
        <x:v>GOV-0154</x:v>
      </x:c>
      <x:c r="B158" s="1" t="d">
        <x:v>2026-02-22T00:00:00.000Z</x:v>
      </x:c>
      <x:c r="C158" s="1" t="d">
        <x:v>2026-02-24T00:00:00.000Z</x:v>
      </x:c>
      <x:c r="D158" t="str">
        <x:v>Product</x:v>
      </x:c>
      <x:c r="E158" t="str">
        <x:v>Medium</x:v>
      </x:c>
      <x:c r="F158" t="str">
        <x:v>Product ops</x:v>
      </x:c>
      <x:c r="G158" t="str">
        <x:v>Closed</x:v>
      </x:c>
      <x:c r="H158" t="n">
        <x:v>7</x:v>
      </x:c>
      <x:c r="I158" t="n">
        <x:v>2</x:v>
      </x:c>
      <x:c r="J158" t="n">
        <x:v>1</x:v>
      </x:c>
      <x:c r="K158" t="n">
        <x:v>1</x:v>
      </x:c>
      <x:c r="L158" t="n">
        <x:v>0</x:v>
      </x:c>
    </x:row>
    <x:row r="159">
      <x:c r="A159" t="str">
        <x:v>GOV-0155</x:v>
      </x:c>
      <x:c r="B159" s="1" t="d">
        <x:v>2026-03-24T00:00:00.000Z</x:v>
      </x:c>
      <x:c r="C159" s="1" t="d">
        <x:v>2026-03-30T00:00:00.000Z</x:v>
      </x:c>
      <x:c r="D159" t="str">
        <x:v>Customer</x:v>
      </x:c>
      <x:c r="E159" t="str">
        <x:v>High</x:v>
      </x:c>
      <x:c r="F159" t="str">
        <x:v>CRM stewardship</x:v>
      </x:c>
      <x:c r="G159" t="str">
        <x:v>Closed</x:v>
      </x:c>
      <x:c r="H159" t="n">
        <x:v>3</x:v>
      </x:c>
      <x:c r="I159" t="n">
        <x:v>6</x:v>
      </x:c>
      <x:c r="J159" t="n">
        <x:v>1</x:v>
      </x:c>
      <x:c r="K159" t="n">
        <x:v>0</x:v>
      </x:c>
      <x:c r="L159" t="n">
        <x:v>0</x:v>
      </x:c>
    </x:row>
    <x:row r="160">
      <x:c r="A160" t="str">
        <x:v>GOV-0156</x:v>
      </x:c>
      <x:c r="B160" s="1" t="d">
        <x:v>2026-03-12T00:00:00.000Z</x:v>
      </x:c>
      <x:c r="C160" s="1" t="d">
        <x:v>2026-03-14T00:00:00.000Z</x:v>
      </x:c>
      <x:c r="D160" t="str">
        <x:v>Product</x:v>
      </x:c>
      <x:c r="E160" t="str">
        <x:v>Medium</x:v>
      </x:c>
      <x:c r="F160" t="str">
        <x:v>Product ops</x:v>
      </x:c>
      <x:c r="G160" t="str">
        <x:v>Closed</x:v>
      </x:c>
      <x:c r="H160" t="n">
        <x:v>7</x:v>
      </x:c>
      <x:c r="I160" t="n">
        <x:v>2</x:v>
      </x:c>
      <x:c r="J160" t="n">
        <x:v>1</x:v>
      </x:c>
      <x:c r="K160" t="n">
        <x:v>1</x:v>
      </x:c>
      <x:c r="L160" t="n">
        <x:v>0</x:v>
      </x:c>
    </x:row>
    <x:row r="161">
      <x:c r="A161" t="str">
        <x:v>GOV-0157</x:v>
      </x:c>
      <x:c r="B161" s="1" t="d">
        <x:v>2026-03-01T00:00:00.000Z</x:v>
      </x:c>
      <x:c r="C161" s="1" t="d">
        <x:v>2026-03-13T00:00:00.000Z</x:v>
      </x:c>
      <x:c r="D161" t="str">
        <x:v>Finance</x:v>
      </x:c>
      <x:c r="E161" t="str">
        <x:v>Medium</x:v>
      </x:c>
      <x:c r="F161" t="str">
        <x:v>Finance data</x:v>
      </x:c>
      <x:c r="G161" t="str">
        <x:v>Closed</x:v>
      </x:c>
      <x:c r="H161" t="n">
        <x:v>7</x:v>
      </x:c>
      <x:c r="I161" t="n">
        <x:v>12</x:v>
      </x:c>
      <x:c r="J161" t="n">
        <x:v>1</x:v>
      </x:c>
      <x:c r="K161" t="n">
        <x:v>0</x:v>
      </x:c>
      <x:c r="L161" t="n">
        <x:v>0</x:v>
      </x:c>
    </x:row>
    <x:row r="162">
      <x:c r="A162" t="str">
        <x:v>GOV-0158</x:v>
      </x:c>
      <x:c r="B162" s="1" t="d">
        <x:v>2026-06-03T00:00:00.000Z</x:v>
      </x:c>
      <x:c r="C162" s="1" t="d">
        <x:v>2026-06-21T00:00:00.000Z</x:v>
      </x:c>
      <x:c r="D162" t="str">
        <x:v>Customer</x:v>
      </x:c>
      <x:c r="E162" t="str">
        <x:v>Medium</x:v>
      </x:c>
      <x:c r="F162" t="str">
        <x:v>CRM stewardship</x:v>
      </x:c>
      <x:c r="G162" t="str">
        <x:v>Closed</x:v>
      </x:c>
      <x:c r="H162" t="n">
        <x:v>7</x:v>
      </x:c>
      <x:c r="I162" t="n">
        <x:v>18</x:v>
      </x:c>
      <x:c r="J162" t="n">
        <x:v>1</x:v>
      </x:c>
      <x:c r="K162" t="n">
        <x:v>0</x:v>
      </x:c>
      <x:c r="L162" t="n">
        <x:v>0</x:v>
      </x:c>
    </x:row>
    <x:row r="163">
      <x:c r="A163" t="str">
        <x:v>GOV-0159</x:v>
      </x:c>
      <x:c r="B163" s="1" t="d">
        <x:v>2026-01-20T00:00:00.000Z</x:v>
      </x:c>
      <x:c r="C163" s="1"/>
      <x:c r="D163" t="str">
        <x:v>Supplier</x:v>
      </x:c>
      <x:c r="E163" t="str">
        <x:v>Medium</x:v>
      </x:c>
      <x:c r="F163" t="str">
        <x:v>Procurement data</x:v>
      </x:c>
      <x:c r="G163" t="str">
        <x:v>Open</x:v>
      </x:c>
      <x:c r="H163" t="n">
        <x:v>7</x:v>
      </x:c>
      <x:c r="I163" t="n">
        <x:v>161</x:v>
      </x:c>
      <x:c r="J163" t="n">
        <x:v>0</x:v>
      </x:c>
      <x:c r="K163" t="n">
        <x:v>0</x:v>
      </x:c>
      <x:c r="L163" t="n">
        <x:v>1</x:v>
      </x:c>
    </x:row>
    <x:row r="164">
      <x:c r="A164" t="str">
        <x:v>GOV-0160</x:v>
      </x:c>
      <x:c r="B164" s="1" t="d">
        <x:v>2026-05-20T00:00:00.000Z</x:v>
      </x:c>
      <x:c r="C164" s="1"/>
      <x:c r="D164" t="str">
        <x:v>Finance</x:v>
      </x:c>
      <x:c r="E164" t="str">
        <x:v>Low</x:v>
      </x:c>
      <x:c r="F164" t="str">
        <x:v>Finance data</x:v>
      </x:c>
      <x:c r="G164" t="str">
        <x:v>Open</x:v>
      </x:c>
      <x:c r="H164" t="n">
        <x:v>14</x:v>
      </x:c>
      <x:c r="I164" t="n">
        <x:v>41</x:v>
      </x:c>
      <x:c r="J164" t="n">
        <x:v>0</x:v>
      </x:c>
      <x:c r="K164" t="n">
        <x:v>0</x:v>
      </x:c>
      <x:c r="L164" t="n">
        <x:v>1</x:v>
      </x:c>
    </x:row>
    <x:row r="165">
      <x:c r="A165" t="str">
        <x:v>GOV-0161</x:v>
      </x:c>
      <x:c r="B165" s="1" t="d">
        <x:v>2026-04-02T00:00:00.000Z</x:v>
      </x:c>
      <x:c r="C165" s="1" t="d">
        <x:v>2026-04-16T00:00:00.000Z</x:v>
      </x:c>
      <x:c r="D165" t="str">
        <x:v>Supplier</x:v>
      </x:c>
      <x:c r="E165" t="str">
        <x:v>Medium</x:v>
      </x:c>
      <x:c r="F165" t="str">
        <x:v>Procurement data</x:v>
      </x:c>
      <x:c r="G165" t="str">
        <x:v>Closed</x:v>
      </x:c>
      <x:c r="H165" t="n">
        <x:v>7</x:v>
      </x:c>
      <x:c r="I165" t="n">
        <x:v>14</x:v>
      </x:c>
      <x:c r="J165" t="n">
        <x:v>1</x:v>
      </x:c>
      <x:c r="K165" t="n">
        <x:v>0</x:v>
      </x:c>
      <x:c r="L165" t="n">
        <x:v>0</x:v>
      </x:c>
    </x:row>
    <x:row r="166">
      <x:c r="A166" t="str">
        <x:v>GOV-0162</x:v>
      </x:c>
      <x:c r="B166" s="1" t="d">
        <x:v>2026-01-17T00:00:00.000Z</x:v>
      </x:c>
      <x:c r="C166" s="1"/>
      <x:c r="D166" t="str">
        <x:v>Product</x:v>
      </x:c>
      <x:c r="E166" t="str">
        <x:v>Medium</x:v>
      </x:c>
      <x:c r="F166" t="str">
        <x:v>Product ops</x:v>
      </x:c>
      <x:c r="G166" t="str">
        <x:v>Open</x:v>
      </x:c>
      <x:c r="H166" t="n">
        <x:v>7</x:v>
      </x:c>
      <x:c r="I166" t="n">
        <x:v>164</x:v>
      </x:c>
      <x:c r="J166" t="n">
        <x:v>0</x:v>
      </x:c>
      <x:c r="K166" t="n">
        <x:v>0</x:v>
      </x:c>
      <x:c r="L166" t="n">
        <x:v>1</x:v>
      </x:c>
    </x:row>
    <x:row r="167">
      <x:c r="A167" t="str">
        <x:v>GOV-0163</x:v>
      </x:c>
      <x:c r="B167" s="1" t="d">
        <x:v>2026-04-14T00:00:00.000Z</x:v>
      </x:c>
      <x:c r="C167" s="1" t="d">
        <x:v>2026-04-24T00:00:00.000Z</x:v>
      </x:c>
      <x:c r="D167" t="str">
        <x:v>Supplier</x:v>
      </x:c>
      <x:c r="E167" t="str">
        <x:v>Medium</x:v>
      </x:c>
      <x:c r="F167" t="str">
        <x:v>Procurement data</x:v>
      </x:c>
      <x:c r="G167" t="str">
        <x:v>Closed</x:v>
      </x:c>
      <x:c r="H167" t="n">
        <x:v>7</x:v>
      </x:c>
      <x:c r="I167" t="n">
        <x:v>10</x:v>
      </x:c>
      <x:c r="J167" t="n">
        <x:v>1</x:v>
      </x:c>
      <x:c r="K167" t="n">
        <x:v>0</x:v>
      </x:c>
      <x:c r="L167" t="n">
        <x:v>0</x:v>
      </x:c>
    </x:row>
    <x:row r="168">
      <x:c r="A168" t="str">
        <x:v>GOV-0164</x:v>
      </x:c>
      <x:c r="B168" s="1" t="d">
        <x:v>2026-05-24T00:00:00.000Z</x:v>
      </x:c>
      <x:c r="C168" s="1" t="d">
        <x:v>2026-06-10T00:00:00.000Z</x:v>
      </x:c>
      <x:c r="D168" t="str">
        <x:v>Supplier</x:v>
      </x:c>
      <x:c r="E168" t="str">
        <x:v>Medium</x:v>
      </x:c>
      <x:c r="F168" t="str">
        <x:v>Procurement data</x:v>
      </x:c>
      <x:c r="G168" t="str">
        <x:v>Closed</x:v>
      </x:c>
      <x:c r="H168" t="n">
        <x:v>7</x:v>
      </x:c>
      <x:c r="I168" t="n">
        <x:v>17</x:v>
      </x:c>
      <x:c r="J168" t="n">
        <x:v>1</x:v>
      </x:c>
      <x:c r="K168" t="n">
        <x:v>0</x:v>
      </x:c>
      <x:c r="L168" t="n">
        <x:v>0</x:v>
      </x:c>
    </x:row>
    <x:row r="169">
      <x:c r="A169" t="str">
        <x:v>GOV-0165</x:v>
      </x:c>
      <x:c r="B169" s="1" t="d">
        <x:v>2026-03-19T00:00:00.000Z</x:v>
      </x:c>
      <x:c r="C169" s="1" t="d">
        <x:v>2026-04-05T00:00:00.000Z</x:v>
      </x:c>
      <x:c r="D169" t="str">
        <x:v>Product</x:v>
      </x:c>
      <x:c r="E169" t="str">
        <x:v>Medium</x:v>
      </x:c>
      <x:c r="F169" t="str">
        <x:v>Product ops</x:v>
      </x:c>
      <x:c r="G169" t="str">
        <x:v>Closed</x:v>
      </x:c>
      <x:c r="H169" t="n">
        <x:v>7</x:v>
      </x:c>
      <x:c r="I169" t="n">
        <x:v>17</x:v>
      </x:c>
      <x:c r="J169" t="n">
        <x:v>1</x:v>
      </x:c>
      <x:c r="K169" t="n">
        <x:v>0</x:v>
      </x:c>
      <x:c r="L169" t="n">
        <x:v>0</x:v>
      </x:c>
    </x:row>
    <x:row r="170">
      <x:c r="A170" t="str">
        <x:v>GOV-0166</x:v>
      </x:c>
      <x:c r="B170" s="1" t="d">
        <x:v>2026-01-28T00:00:00.000Z</x:v>
      </x:c>
      <x:c r="C170" s="1" t="d">
        <x:v>2026-02-04T00:00:00.000Z</x:v>
      </x:c>
      <x:c r="D170" t="str">
        <x:v>Customer</x:v>
      </x:c>
      <x:c r="E170" t="str">
        <x:v>Low</x:v>
      </x:c>
      <x:c r="F170" t="str">
        <x:v>CRM stewardship</x:v>
      </x:c>
      <x:c r="G170" t="str">
        <x:v>Closed</x:v>
      </x:c>
      <x:c r="H170" t="n">
        <x:v>14</x:v>
      </x:c>
      <x:c r="I170" t="n">
        <x:v>7</x:v>
      </x:c>
      <x:c r="J170" t="n">
        <x:v>1</x:v>
      </x:c>
      <x:c r="K170" t="n">
        <x:v>1</x:v>
      </x:c>
      <x:c r="L170" t="n">
        <x:v>0</x:v>
      </x:c>
    </x:row>
    <x:row r="171">
      <x:c r="A171" t="str">
        <x:v>GOV-0167</x:v>
      </x:c>
      <x:c r="B171" s="1" t="d">
        <x:v>2026-02-09T00:00:00.000Z</x:v>
      </x:c>
      <x:c r="C171" s="1" t="d">
        <x:v>2026-02-14T00:00:00.000Z</x:v>
      </x:c>
      <x:c r="D171" t="str">
        <x:v>Customer</x:v>
      </x:c>
      <x:c r="E171" t="str">
        <x:v>Medium</x:v>
      </x:c>
      <x:c r="F171" t="str">
        <x:v>CRM stewardship</x:v>
      </x:c>
      <x:c r="G171" t="str">
        <x:v>Closed</x:v>
      </x:c>
      <x:c r="H171" t="n">
        <x:v>7</x:v>
      </x:c>
      <x:c r="I171" t="n">
        <x:v>5</x:v>
      </x:c>
      <x:c r="J171" t="n">
        <x:v>1</x:v>
      </x:c>
      <x:c r="K171" t="n">
        <x:v>1</x:v>
      </x:c>
      <x:c r="L171" t="n">
        <x:v>0</x:v>
      </x:c>
    </x:row>
    <x:row r="172">
      <x:c r="A172" t="str">
        <x:v>GOV-0168</x:v>
      </x:c>
      <x:c r="B172" s="1" t="d">
        <x:v>2026-02-09T00:00:00.000Z</x:v>
      </x:c>
      <x:c r="C172" s="1" t="d">
        <x:v>2026-02-15T00:00:00.000Z</x:v>
      </x:c>
      <x:c r="D172" t="str">
        <x:v>Finance</x:v>
      </x:c>
      <x:c r="E172" t="str">
        <x:v>Medium</x:v>
      </x:c>
      <x:c r="F172" t="str">
        <x:v>Finance data</x:v>
      </x:c>
      <x:c r="G172" t="str">
        <x:v>Closed</x:v>
      </x:c>
      <x:c r="H172" t="n">
        <x:v>7</x:v>
      </x:c>
      <x:c r="I172" t="n">
        <x:v>6</x:v>
      </x:c>
      <x:c r="J172" t="n">
        <x:v>1</x:v>
      </x:c>
      <x:c r="K172" t="n">
        <x:v>1</x:v>
      </x:c>
      <x:c r="L172" t="n">
        <x:v>0</x:v>
      </x:c>
    </x:row>
    <x:row r="173">
      <x:c r="A173" t="str">
        <x:v>GOV-0169</x:v>
      </x:c>
      <x:c r="B173" s="1" t="d">
        <x:v>2026-01-23T00:00:00.000Z</x:v>
      </x:c>
      <x:c r="C173" s="1"/>
      <x:c r="D173" t="str">
        <x:v>Supplier</x:v>
      </x:c>
      <x:c r="E173" t="str">
        <x:v>High</x:v>
      </x:c>
      <x:c r="F173" t="str">
        <x:v>Procurement data</x:v>
      </x:c>
      <x:c r="G173" t="str">
        <x:v>Open</x:v>
      </x:c>
      <x:c r="H173" t="n">
        <x:v>3</x:v>
      </x:c>
      <x:c r="I173" t="n">
        <x:v>158</x:v>
      </x:c>
      <x:c r="J173" t="n">
        <x:v>0</x:v>
      </x:c>
      <x:c r="K173" t="n">
        <x:v>0</x:v>
      </x:c>
      <x:c r="L173" t="n">
        <x:v>1</x:v>
      </x:c>
    </x:row>
    <x:row r="174">
      <x:c r="A174" t="str">
        <x:v>GOV-0170</x:v>
      </x:c>
      <x:c r="B174" s="1" t="d">
        <x:v>2026-04-14T00:00:00.000Z</x:v>
      </x:c>
      <x:c r="C174" s="1" t="d">
        <x:v>2026-05-02T00:00:00.000Z</x:v>
      </x:c>
      <x:c r="D174" t="str">
        <x:v>Customer</x:v>
      </x:c>
      <x:c r="E174" t="str">
        <x:v>High</x:v>
      </x:c>
      <x:c r="F174" t="str">
        <x:v>CRM stewardship</x:v>
      </x:c>
      <x:c r="G174" t="str">
        <x:v>Closed</x:v>
      </x:c>
      <x:c r="H174" t="n">
        <x:v>3</x:v>
      </x:c>
      <x:c r="I174" t="n">
        <x:v>18</x:v>
      </x:c>
      <x:c r="J174" t="n">
        <x:v>1</x:v>
      </x:c>
      <x:c r="K174" t="n">
        <x:v>0</x:v>
      </x:c>
      <x:c r="L174" t="n">
        <x:v>0</x:v>
      </x:c>
    </x:row>
    <x:row r="175">
      <x:c r="A175" t="str">
        <x:v>GOV-0171</x:v>
      </x:c>
      <x:c r="B175" s="1" t="d">
        <x:v>2026-05-31T00:00:00.000Z</x:v>
      </x:c>
      <x:c r="C175" s="1" t="d">
        <x:v>2026-06-06T00:00:00.000Z</x:v>
      </x:c>
      <x:c r="D175" t="str">
        <x:v>Supplier</x:v>
      </x:c>
      <x:c r="E175" t="str">
        <x:v>Low</x:v>
      </x:c>
      <x:c r="F175" t="str">
        <x:v>Procurement data</x:v>
      </x:c>
      <x:c r="G175" t="str">
        <x:v>Closed</x:v>
      </x:c>
      <x:c r="H175" t="n">
        <x:v>14</x:v>
      </x:c>
      <x:c r="I175" t="n">
        <x:v>6</x:v>
      </x:c>
      <x:c r="J175" t="n">
        <x:v>1</x:v>
      </x:c>
      <x:c r="K175" t="n">
        <x:v>1</x:v>
      </x:c>
      <x:c r="L175" t="n">
        <x:v>0</x:v>
      </x:c>
    </x:row>
    <x:row r="176">
      <x:c r="A176" t="str">
        <x:v>GOV-0172</x:v>
      </x:c>
      <x:c r="B176" s="1" t="d">
        <x:v>2026-01-05T00:00:00.000Z</x:v>
      </x:c>
      <x:c r="C176" s="1" t="d">
        <x:v>2026-01-18T00:00:00.000Z</x:v>
      </x:c>
      <x:c r="D176" t="str">
        <x:v>Finance</x:v>
      </x:c>
      <x:c r="E176" t="str">
        <x:v>Medium</x:v>
      </x:c>
      <x:c r="F176" t="str">
        <x:v>Finance data</x:v>
      </x:c>
      <x:c r="G176" t="str">
        <x:v>Closed</x:v>
      </x:c>
      <x:c r="H176" t="n">
        <x:v>7</x:v>
      </x:c>
      <x:c r="I176" t="n">
        <x:v>13</x:v>
      </x:c>
      <x:c r="J176" t="n">
        <x:v>1</x:v>
      </x:c>
      <x:c r="K176" t="n">
        <x:v>0</x:v>
      </x:c>
      <x:c r="L176" t="n">
        <x:v>0</x:v>
      </x:c>
    </x:row>
    <x:row r="177">
      <x:c r="A177" t="str">
        <x:v>GOV-0173</x:v>
      </x:c>
      <x:c r="B177" s="1" t="d">
        <x:v>2026-04-20T00:00:00.000Z</x:v>
      </x:c>
      <x:c r="C177" s="1"/>
      <x:c r="D177" t="str">
        <x:v>Customer</x:v>
      </x:c>
      <x:c r="E177" t="str">
        <x:v>Low</x:v>
      </x:c>
      <x:c r="F177" t="str">
        <x:v>CRM stewardship</x:v>
      </x:c>
      <x:c r="G177" t="str">
        <x:v>Open</x:v>
      </x:c>
      <x:c r="H177" t="n">
        <x:v>14</x:v>
      </x:c>
      <x:c r="I177" t="n">
        <x:v>71</x:v>
      </x:c>
      <x:c r="J177" t="n">
        <x:v>0</x:v>
      </x:c>
      <x:c r="K177" t="n">
        <x:v>0</x:v>
      </x:c>
      <x:c r="L177" t="n">
        <x:v>1</x:v>
      </x:c>
    </x:row>
    <x:row r="178">
      <x:c r="A178" t="str">
        <x:v>GOV-0174</x:v>
      </x:c>
      <x:c r="B178" s="1" t="d">
        <x:v>2026-05-13T00:00:00.000Z</x:v>
      </x:c>
      <x:c r="C178" s="1" t="d">
        <x:v>2026-05-19T00:00:00.000Z</x:v>
      </x:c>
      <x:c r="D178" t="str">
        <x:v>Finance</x:v>
      </x:c>
      <x:c r="E178" t="str">
        <x:v>Low</x:v>
      </x:c>
      <x:c r="F178" t="str">
        <x:v>Finance data</x:v>
      </x:c>
      <x:c r="G178" t="str">
        <x:v>Closed</x:v>
      </x:c>
      <x:c r="H178" t="n">
        <x:v>14</x:v>
      </x:c>
      <x:c r="I178" t="n">
        <x:v>6</x:v>
      </x:c>
      <x:c r="J178" t="n">
        <x:v>1</x:v>
      </x:c>
      <x:c r="K178" t="n">
        <x:v>1</x:v>
      </x:c>
      <x:c r="L178" t="n">
        <x:v>0</x:v>
      </x:c>
    </x:row>
    <x:row r="179">
      <x:c r="A179" t="str">
        <x:v>GOV-0175</x:v>
      </x:c>
      <x:c r="B179" s="1" t="d">
        <x:v>2026-02-25T00:00:00.000Z</x:v>
      </x:c>
      <x:c r="C179" s="1" t="d">
        <x:v>2026-03-06T00:00:00.000Z</x:v>
      </x:c>
      <x:c r="D179" t="str">
        <x:v>Finance</x:v>
      </x:c>
      <x:c r="E179" t="str">
        <x:v>Medium</x:v>
      </x:c>
      <x:c r="F179" t="str">
        <x:v>Finance data</x:v>
      </x:c>
      <x:c r="G179" t="str">
        <x:v>Closed</x:v>
      </x:c>
      <x:c r="H179" t="n">
        <x:v>7</x:v>
      </x:c>
      <x:c r="I179" t="n">
        <x:v>9</x:v>
      </x:c>
      <x:c r="J179" t="n">
        <x:v>1</x:v>
      </x:c>
      <x:c r="K179" t="n">
        <x:v>0</x:v>
      </x:c>
      <x:c r="L179" t="n">
        <x:v>0</x:v>
      </x:c>
    </x:row>
    <x:row r="180">
      <x:c r="A180" t="str">
        <x:v>GOV-0176</x:v>
      </x:c>
      <x:c r="B180" s="1" t="d">
        <x:v>2026-01-03T00:00:00.000Z</x:v>
      </x:c>
      <x:c r="C180" s="1" t="d">
        <x:v>2026-01-12T00:00:00.000Z</x:v>
      </x:c>
      <x:c r="D180" t="str">
        <x:v>Supplier</x:v>
      </x:c>
      <x:c r="E180" t="str">
        <x:v>Low</x:v>
      </x:c>
      <x:c r="F180" t="str">
        <x:v>Procurement data</x:v>
      </x:c>
      <x:c r="G180" t="str">
        <x:v>Closed</x:v>
      </x:c>
      <x:c r="H180" t="n">
        <x:v>14</x:v>
      </x:c>
      <x:c r="I180" t="n">
        <x:v>9</x:v>
      </x:c>
      <x:c r="J180" t="n">
        <x:v>1</x:v>
      </x:c>
      <x:c r="K180" t="n">
        <x:v>1</x:v>
      </x:c>
      <x:c r="L180" t="n">
        <x:v>0</x:v>
      </x:c>
    </x:row>
    <x:row r="181">
      <x:c r="A181" t="str">
        <x:v>GOV-0177</x:v>
      </x:c>
      <x:c r="B181" s="1" t="d">
        <x:v>2026-02-14T00:00:00.000Z</x:v>
      </x:c>
      <x:c r="C181" s="1" t="d">
        <x:v>2026-03-01T00:00:00.000Z</x:v>
      </x:c>
      <x:c r="D181" t="str">
        <x:v>Supplier</x:v>
      </x:c>
      <x:c r="E181" t="str">
        <x:v>High</x:v>
      </x:c>
      <x:c r="F181" t="str">
        <x:v>Procurement data</x:v>
      </x:c>
      <x:c r="G181" t="str">
        <x:v>Closed</x:v>
      </x:c>
      <x:c r="H181" t="n">
        <x:v>3</x:v>
      </x:c>
      <x:c r="I181" t="n">
        <x:v>15</x:v>
      </x:c>
      <x:c r="J181" t="n">
        <x:v>1</x:v>
      </x:c>
      <x:c r="K181" t="n">
        <x:v>0</x:v>
      </x:c>
      <x:c r="L181" t="n">
        <x:v>0</x:v>
      </x:c>
    </x:row>
    <x:row r="182">
      <x:c r="A182" t="str">
        <x:v>GOV-0178</x:v>
      </x:c>
      <x:c r="B182" s="1" t="d">
        <x:v>2026-02-07T00:00:00.000Z</x:v>
      </x:c>
      <x:c r="C182" s="1"/>
      <x:c r="D182" t="str">
        <x:v>Finance</x:v>
      </x:c>
      <x:c r="E182" t="str">
        <x:v>High</x:v>
      </x:c>
      <x:c r="F182" t="str">
        <x:v>Finance data</x:v>
      </x:c>
      <x:c r="G182" t="str">
        <x:v>Open</x:v>
      </x:c>
      <x:c r="H182" t="n">
        <x:v>3</x:v>
      </x:c>
      <x:c r="I182" t="n">
        <x:v>143</x:v>
      </x:c>
      <x:c r="J182" t="n">
        <x:v>0</x:v>
      </x:c>
      <x:c r="K182" t="n">
        <x:v>0</x:v>
      </x:c>
      <x:c r="L182" t="n">
        <x:v>1</x:v>
      </x:c>
    </x:row>
    <x:row r="183">
      <x:c r="A183" t="str">
        <x:v>GOV-0179</x:v>
      </x:c>
      <x:c r="B183" s="1" t="d">
        <x:v>2026-05-16T00:00:00.000Z</x:v>
      </x:c>
      <x:c r="C183" s="1" t="d">
        <x:v>2026-05-30T00:00:00.000Z</x:v>
      </x:c>
      <x:c r="D183" t="str">
        <x:v>Finance</x:v>
      </x:c>
      <x:c r="E183" t="str">
        <x:v>Low</x:v>
      </x:c>
      <x:c r="F183" t="str">
        <x:v>Finance data</x:v>
      </x:c>
      <x:c r="G183" t="str">
        <x:v>Closed</x:v>
      </x:c>
      <x:c r="H183" t="n">
        <x:v>14</x:v>
      </x:c>
      <x:c r="I183" t="n">
        <x:v>14</x:v>
      </x:c>
      <x:c r="J183" t="n">
        <x:v>1</x:v>
      </x:c>
      <x:c r="K183" t="n">
        <x:v>1</x:v>
      </x:c>
      <x:c r="L183" t="n">
        <x:v>0</x:v>
      </x:c>
    </x:row>
    <x:row r="184">
      <x:c r="A184" t="str">
        <x:v>GOV-0180</x:v>
      </x:c>
      <x:c r="B184" s="1" t="d">
        <x:v>2026-05-30T00:00:00.000Z</x:v>
      </x:c>
      <x:c r="C184" s="1" t="d">
        <x:v>2026-06-22T00:00:00.000Z</x:v>
      </x:c>
      <x:c r="D184" t="str">
        <x:v>Supplier</x:v>
      </x:c>
      <x:c r="E184" t="str">
        <x:v>Medium</x:v>
      </x:c>
      <x:c r="F184" t="str">
        <x:v>Procurement data</x:v>
      </x:c>
      <x:c r="G184" t="str">
        <x:v>Closed</x:v>
      </x:c>
      <x:c r="H184" t="n">
        <x:v>7</x:v>
      </x:c>
      <x:c r="I184" t="n">
        <x:v>23</x:v>
      </x:c>
      <x:c r="J184" t="n">
        <x:v>1</x:v>
      </x:c>
      <x:c r="K184" t="n">
        <x:v>0</x:v>
      </x:c>
      <x:c r="L184" t="n">
        <x:v>0</x:v>
      </x:c>
    </x:row>
    <x:row r="185">
      <x:c r="A185" t="str">
        <x:v>GOV-0181</x:v>
      </x:c>
      <x:c r="B185" s="1" t="d">
        <x:v>2026-01-13T00:00:00.000Z</x:v>
      </x:c>
      <x:c r="C185" s="1" t="d">
        <x:v>2026-01-15T00:00:00.000Z</x:v>
      </x:c>
      <x:c r="D185" t="str">
        <x:v>Finance</x:v>
      </x:c>
      <x:c r="E185" t="str">
        <x:v>Medium</x:v>
      </x:c>
      <x:c r="F185" t="str">
        <x:v>Finance data</x:v>
      </x:c>
      <x:c r="G185" t="str">
        <x:v>Closed</x:v>
      </x:c>
      <x:c r="H185" t="n">
        <x:v>7</x:v>
      </x:c>
      <x:c r="I185" t="n">
        <x:v>2</x:v>
      </x:c>
      <x:c r="J185" t="n">
        <x:v>1</x:v>
      </x:c>
      <x:c r="K185" t="n">
        <x:v>1</x:v>
      </x:c>
      <x:c r="L185" t="n">
        <x:v>0</x:v>
      </x:c>
    </x:row>
    <x:row r="186">
      <x:c r="A186" t="str">
        <x:v>GOV-0182</x:v>
      </x:c>
      <x:c r="B186" s="1" t="d">
        <x:v>2026-01-11T00:00:00.000Z</x:v>
      </x:c>
      <x:c r="C186" s="1" t="d">
        <x:v>2026-01-28T00:00:00.000Z</x:v>
      </x:c>
      <x:c r="D186" t="str">
        <x:v>Finance</x:v>
      </x:c>
      <x:c r="E186" t="str">
        <x:v>Low</x:v>
      </x:c>
      <x:c r="F186" t="str">
        <x:v>Finance data</x:v>
      </x:c>
      <x:c r="G186" t="str">
        <x:v>Closed</x:v>
      </x:c>
      <x:c r="H186" t="n">
        <x:v>14</x:v>
      </x:c>
      <x:c r="I186" t="n">
        <x:v>17</x:v>
      </x:c>
      <x:c r="J186" t="n">
        <x:v>1</x:v>
      </x:c>
      <x:c r="K186" t="n">
        <x:v>0</x:v>
      </x:c>
      <x:c r="L186" t="n">
        <x:v>0</x:v>
      </x:c>
    </x:row>
    <x:row r="187">
      <x:c r="A187" t="str">
        <x:v>GOV-0183</x:v>
      </x:c>
      <x:c r="B187" s="1" t="d">
        <x:v>2026-02-05T00:00:00.000Z</x:v>
      </x:c>
      <x:c r="C187" s="1" t="d">
        <x:v>2026-02-12T00:00:00.000Z</x:v>
      </x:c>
      <x:c r="D187" t="str">
        <x:v>Finance</x:v>
      </x:c>
      <x:c r="E187" t="str">
        <x:v>High</x:v>
      </x:c>
      <x:c r="F187" t="str">
        <x:v>Finance data</x:v>
      </x:c>
      <x:c r="G187" t="str">
        <x:v>Closed</x:v>
      </x:c>
      <x:c r="H187" t="n">
        <x:v>3</x:v>
      </x:c>
      <x:c r="I187" t="n">
        <x:v>7</x:v>
      </x:c>
      <x:c r="J187" t="n">
        <x:v>1</x:v>
      </x:c>
      <x:c r="K187" t="n">
        <x:v>0</x:v>
      </x:c>
      <x:c r="L187" t="n">
        <x:v>0</x:v>
      </x:c>
    </x:row>
    <x:row r="188">
      <x:c r="A188" t="str">
        <x:v>GOV-0184</x:v>
      </x:c>
      <x:c r="B188" s="1" t="d">
        <x:v>2026-03-25T00:00:00.000Z</x:v>
      </x:c>
      <x:c r="C188" s="1" t="d">
        <x:v>2026-04-14T00:00:00.000Z</x:v>
      </x:c>
      <x:c r="D188" t="str">
        <x:v>Product</x:v>
      </x:c>
      <x:c r="E188" t="str">
        <x:v>Medium</x:v>
      </x:c>
      <x:c r="F188" t="str">
        <x:v>Product ops</x:v>
      </x:c>
      <x:c r="G188" t="str">
        <x:v>Closed</x:v>
      </x:c>
      <x:c r="H188" t="n">
        <x:v>7</x:v>
      </x:c>
      <x:c r="I188" t="n">
        <x:v>20</x:v>
      </x:c>
      <x:c r="J188" t="n">
        <x:v>1</x:v>
      </x:c>
      <x:c r="K188" t="n">
        <x:v>0</x:v>
      </x:c>
      <x:c r="L188" t="n">
        <x:v>0</x:v>
      </x:c>
    </x:row>
    <x:row r="189">
      <x:c r="A189" t="str">
        <x:v>GOV-0185</x:v>
      </x:c>
      <x:c r="B189" s="1" t="d">
        <x:v>2026-03-13T00:00:00.000Z</x:v>
      </x:c>
      <x:c r="C189" s="1" t="d">
        <x:v>2026-03-24T00:00:00.000Z</x:v>
      </x:c>
      <x:c r="D189" t="str">
        <x:v>Supplier</x:v>
      </x:c>
      <x:c r="E189" t="str">
        <x:v>Medium</x:v>
      </x:c>
      <x:c r="F189" t="str">
        <x:v>Procurement data</x:v>
      </x:c>
      <x:c r="G189" t="str">
        <x:v>Closed</x:v>
      </x:c>
      <x:c r="H189" t="n">
        <x:v>7</x:v>
      </x:c>
      <x:c r="I189" t="n">
        <x:v>11</x:v>
      </x:c>
      <x:c r="J189" t="n">
        <x:v>1</x:v>
      </x:c>
      <x:c r="K189" t="n">
        <x:v>0</x:v>
      </x:c>
      <x:c r="L189" t="n">
        <x:v>0</x:v>
      </x:c>
    </x:row>
    <x:row r="190">
      <x:c r="A190" t="str">
        <x:v>GOV-0186</x:v>
      </x:c>
      <x:c r="B190" s="1" t="d">
        <x:v>2026-02-02T00:00:00.000Z</x:v>
      </x:c>
      <x:c r="C190" s="1" t="d">
        <x:v>2026-02-03T00:00:00.000Z</x:v>
      </x:c>
      <x:c r="D190" t="str">
        <x:v>Finance</x:v>
      </x:c>
      <x:c r="E190" t="str">
        <x:v>Low</x:v>
      </x:c>
      <x:c r="F190" t="str">
        <x:v>Finance data</x:v>
      </x:c>
      <x:c r="G190" t="str">
        <x:v>Closed</x:v>
      </x:c>
      <x:c r="H190" t="n">
        <x:v>14</x:v>
      </x:c>
      <x:c r="I190" t="n">
        <x:v>1</x:v>
      </x:c>
      <x:c r="J190" t="n">
        <x:v>1</x:v>
      </x:c>
      <x:c r="K190" t="n">
        <x:v>1</x:v>
      </x:c>
      <x:c r="L190" t="n">
        <x:v>0</x:v>
      </x:c>
    </x:row>
    <x:row r="191">
      <x:c r="A191" t="str">
        <x:v>GOV-0187</x:v>
      </x:c>
      <x:c r="B191" s="1" t="d">
        <x:v>2026-05-15T00:00:00.000Z</x:v>
      </x:c>
      <x:c r="C191" s="1" t="d">
        <x:v>2026-05-25T00:00:00.000Z</x:v>
      </x:c>
      <x:c r="D191" t="str">
        <x:v>Customer</x:v>
      </x:c>
      <x:c r="E191" t="str">
        <x:v>Low</x:v>
      </x:c>
      <x:c r="F191" t="str">
        <x:v>CRM stewardship</x:v>
      </x:c>
      <x:c r="G191" t="str">
        <x:v>Closed</x:v>
      </x:c>
      <x:c r="H191" t="n">
        <x:v>14</x:v>
      </x:c>
      <x:c r="I191" t="n">
        <x:v>10</x:v>
      </x:c>
      <x:c r="J191" t="n">
        <x:v>1</x:v>
      </x:c>
      <x:c r="K191" t="n">
        <x:v>1</x:v>
      </x:c>
      <x:c r="L191" t="n">
        <x:v>0</x:v>
      </x:c>
    </x:row>
    <x:row r="192">
      <x:c r="A192" t="str">
        <x:v>GOV-0188</x:v>
      </x:c>
      <x:c r="B192" s="1" t="d">
        <x:v>2026-06-19T00:00:00.000Z</x:v>
      </x:c>
      <x:c r="C192" s="1"/>
      <x:c r="D192" t="str">
        <x:v>Customer</x:v>
      </x:c>
      <x:c r="E192" t="str">
        <x:v>Medium</x:v>
      </x:c>
      <x:c r="F192" t="str">
        <x:v>CRM stewardship</x:v>
      </x:c>
      <x:c r="G192" t="str">
        <x:v>Open</x:v>
      </x:c>
      <x:c r="H192" t="n">
        <x:v>7</x:v>
      </x:c>
      <x:c r="I192" t="n">
        <x:v>11</x:v>
      </x:c>
      <x:c r="J192" t="n">
        <x:v>0</x:v>
      </x:c>
      <x:c r="K192" t="n">
        <x:v>0</x:v>
      </x:c>
      <x:c r="L192" t="n">
        <x:v>1</x:v>
      </x:c>
    </x:row>
    <x:row r="193">
      <x:c r="A193" t="str">
        <x:v>GOV-0189</x:v>
      </x:c>
      <x:c r="B193" s="1" t="d">
        <x:v>2026-01-04T00:00:00.000Z</x:v>
      </x:c>
      <x:c r="C193" s="1" t="d">
        <x:v>2026-01-20T00:00:00.000Z</x:v>
      </x:c>
      <x:c r="D193" t="str">
        <x:v>Customer</x:v>
      </x:c>
      <x:c r="E193" t="str">
        <x:v>Medium</x:v>
      </x:c>
      <x:c r="F193" t="str">
        <x:v>CRM stewardship</x:v>
      </x:c>
      <x:c r="G193" t="str">
        <x:v>Closed</x:v>
      </x:c>
      <x:c r="H193" t="n">
        <x:v>7</x:v>
      </x:c>
      <x:c r="I193" t="n">
        <x:v>16</x:v>
      </x:c>
      <x:c r="J193" t="n">
        <x:v>1</x:v>
      </x:c>
      <x:c r="K193" t="n">
        <x:v>0</x:v>
      </x:c>
      <x:c r="L193" t="n">
        <x:v>0</x:v>
      </x:c>
    </x:row>
    <x:row r="194">
      <x:c r="A194" t="str">
        <x:v>GOV-0190</x:v>
      </x:c>
      <x:c r="B194" s="1" t="d">
        <x:v>2026-06-01T00:00:00.000Z</x:v>
      </x:c>
      <x:c r="C194" s="1" t="d">
        <x:v>2026-06-05T00:00:00.000Z</x:v>
      </x:c>
      <x:c r="D194" t="str">
        <x:v>Customer</x:v>
      </x:c>
      <x:c r="E194" t="str">
        <x:v>Medium</x:v>
      </x:c>
      <x:c r="F194" t="str">
        <x:v>CRM stewardship</x:v>
      </x:c>
      <x:c r="G194" t="str">
        <x:v>Closed</x:v>
      </x:c>
      <x:c r="H194" t="n">
        <x:v>7</x:v>
      </x:c>
      <x:c r="I194" t="n">
        <x:v>4</x:v>
      </x:c>
      <x:c r="J194" t="n">
        <x:v>1</x:v>
      </x:c>
      <x:c r="K194" t="n">
        <x:v>1</x:v>
      </x:c>
      <x:c r="L194" t="n">
        <x:v>0</x:v>
      </x:c>
    </x:row>
    <x:row r="195">
      <x:c r="A195" t="str">
        <x:v>GOV-0191</x:v>
      </x:c>
      <x:c r="B195" s="1" t="d">
        <x:v>2026-04-07T00:00:00.000Z</x:v>
      </x:c>
      <x:c r="C195" s="1"/>
      <x:c r="D195" t="str">
        <x:v>Finance</x:v>
      </x:c>
      <x:c r="E195" t="str">
        <x:v>Low</x:v>
      </x:c>
      <x:c r="F195" t="str">
        <x:v>Finance data</x:v>
      </x:c>
      <x:c r="G195" t="str">
        <x:v>Open</x:v>
      </x:c>
      <x:c r="H195" t="n">
        <x:v>14</x:v>
      </x:c>
      <x:c r="I195" t="n">
        <x:v>84</x:v>
      </x:c>
      <x:c r="J195" t="n">
        <x:v>0</x:v>
      </x:c>
      <x:c r="K195" t="n">
        <x:v>0</x:v>
      </x:c>
      <x:c r="L195" t="n">
        <x:v>1</x:v>
      </x:c>
    </x:row>
    <x:row r="196">
      <x:c r="A196" t="str">
        <x:v>GOV-0192</x:v>
      </x:c>
      <x:c r="B196" s="1" t="d">
        <x:v>2026-02-17T00:00:00.000Z</x:v>
      </x:c>
      <x:c r="C196" s="1" t="d">
        <x:v>2026-02-28T00:00:00.000Z</x:v>
      </x:c>
      <x:c r="D196" t="str">
        <x:v>Product</x:v>
      </x:c>
      <x:c r="E196" t="str">
        <x:v>Medium</x:v>
      </x:c>
      <x:c r="F196" t="str">
        <x:v>Product ops</x:v>
      </x:c>
      <x:c r="G196" t="str">
        <x:v>Closed</x:v>
      </x:c>
      <x:c r="H196" t="n">
        <x:v>7</x:v>
      </x:c>
      <x:c r="I196" t="n">
        <x:v>11</x:v>
      </x:c>
      <x:c r="J196" t="n">
        <x:v>1</x:v>
      </x:c>
      <x:c r="K196" t="n">
        <x:v>0</x:v>
      </x:c>
      <x:c r="L196" t="n">
        <x:v>0</x:v>
      </x:c>
    </x:row>
    <x:row r="197">
      <x:c r="A197" t="str">
        <x:v>GOV-0193</x:v>
      </x:c>
      <x:c r="B197" s="1" t="d">
        <x:v>2026-06-30T00:00:00.000Z</x:v>
      </x:c>
      <x:c r="C197" s="1"/>
      <x:c r="D197" t="str">
        <x:v>Customer</x:v>
      </x:c>
      <x:c r="E197" t="str">
        <x:v>Medium</x:v>
      </x:c>
      <x:c r="F197" t="str">
        <x:v>CRM stewardship</x:v>
      </x:c>
      <x:c r="G197" t="str">
        <x:v>Open</x:v>
      </x:c>
      <x:c r="H197" t="n">
        <x:v>7</x:v>
      </x:c>
      <x:c r="I197" t="n">
        <x:v>0</x:v>
      </x:c>
      <x:c r="J197" t="n">
        <x:v>0</x:v>
      </x:c>
      <x:c r="K197" t="n">
        <x:v>0</x:v>
      </x:c>
      <x:c r="L197" t="n">
        <x:v>0</x:v>
      </x:c>
    </x:row>
    <x:row r="198">
      <x:c r="A198" t="str">
        <x:v>GOV-0194</x:v>
      </x:c>
      <x:c r="B198" s="1" t="d">
        <x:v>2026-06-15T00:00:00.000Z</x:v>
      </x:c>
      <x:c r="C198" s="1" t="d">
        <x:v>2026-06-25T00:00:00.000Z</x:v>
      </x:c>
      <x:c r="D198" t="str">
        <x:v>Product</x:v>
      </x:c>
      <x:c r="E198" t="str">
        <x:v>Medium</x:v>
      </x:c>
      <x:c r="F198" t="str">
        <x:v>Product ops</x:v>
      </x:c>
      <x:c r="G198" t="str">
        <x:v>Closed</x:v>
      </x:c>
      <x:c r="H198" t="n">
        <x:v>7</x:v>
      </x:c>
      <x:c r="I198" t="n">
        <x:v>10</x:v>
      </x:c>
      <x:c r="J198" t="n">
        <x:v>1</x:v>
      </x:c>
      <x:c r="K198" t="n">
        <x:v>0</x:v>
      </x:c>
      <x:c r="L198" t="n">
        <x:v>0</x:v>
      </x:c>
    </x:row>
    <x:row r="199">
      <x:c r="A199" t="str">
        <x:v>GOV-0195</x:v>
      </x:c>
      <x:c r="B199" s="1" t="d">
        <x:v>2026-03-17T00:00:00.000Z</x:v>
      </x:c>
      <x:c r="C199" s="1" t="d">
        <x:v>2026-04-05T00:00:00.000Z</x:v>
      </x:c>
      <x:c r="D199" t="str">
        <x:v>Supplier</x:v>
      </x:c>
      <x:c r="E199" t="str">
        <x:v>Medium</x:v>
      </x:c>
      <x:c r="F199" t="str">
        <x:v>Procurement data</x:v>
      </x:c>
      <x:c r="G199" t="str">
        <x:v>Closed</x:v>
      </x:c>
      <x:c r="H199" t="n">
        <x:v>7</x:v>
      </x:c>
      <x:c r="I199" t="n">
        <x:v>19</x:v>
      </x:c>
      <x:c r="J199" t="n">
        <x:v>1</x:v>
      </x:c>
      <x:c r="K199" t="n">
        <x:v>0</x:v>
      </x:c>
      <x:c r="L199" t="n">
        <x:v>0</x:v>
      </x:c>
    </x:row>
    <x:row r="200">
      <x:c r="A200" t="str">
        <x:v>GOV-0196</x:v>
      </x:c>
      <x:c r="B200" s="1" t="d">
        <x:v>2026-05-29T00:00:00.000Z</x:v>
      </x:c>
      <x:c r="C200" s="1" t="d">
        <x:v>2026-06-16T00:00:00.000Z</x:v>
      </x:c>
      <x:c r="D200" t="str">
        <x:v>Supplier</x:v>
      </x:c>
      <x:c r="E200" t="str">
        <x:v>Medium</x:v>
      </x:c>
      <x:c r="F200" t="str">
        <x:v>Procurement data</x:v>
      </x:c>
      <x:c r="G200" t="str">
        <x:v>Closed</x:v>
      </x:c>
      <x:c r="H200" t="n">
        <x:v>7</x:v>
      </x:c>
      <x:c r="I200" t="n">
        <x:v>18</x:v>
      </x:c>
      <x:c r="J200" t="n">
        <x:v>1</x:v>
      </x:c>
      <x:c r="K200" t="n">
        <x:v>0</x:v>
      </x:c>
      <x:c r="L200" t="n">
        <x:v>0</x:v>
      </x:c>
    </x:row>
    <x:row r="201">
      <x:c r="A201" t="str">
        <x:v>GOV-0197</x:v>
      </x:c>
      <x:c r="B201" s="1" t="d">
        <x:v>2026-01-04T00:00:00.000Z</x:v>
      </x:c>
      <x:c r="C201" s="1" t="d">
        <x:v>2026-01-15T00:00:00.000Z</x:v>
      </x:c>
      <x:c r="D201" t="str">
        <x:v>Product</x:v>
      </x:c>
      <x:c r="E201" t="str">
        <x:v>High</x:v>
      </x:c>
      <x:c r="F201" t="str">
        <x:v>Product ops</x:v>
      </x:c>
      <x:c r="G201" t="str">
        <x:v>Closed</x:v>
      </x:c>
      <x:c r="H201" t="n">
        <x:v>3</x:v>
      </x:c>
      <x:c r="I201" t="n">
        <x:v>11</x:v>
      </x:c>
      <x:c r="J201" t="n">
        <x:v>1</x:v>
      </x:c>
      <x:c r="K201" t="n">
        <x:v>0</x:v>
      </x:c>
      <x:c r="L201" t="n">
        <x:v>0</x:v>
      </x:c>
    </x:row>
    <x:row r="202">
      <x:c r="A202" t="str">
        <x:v>GOV-0198</x:v>
      </x:c>
      <x:c r="B202" s="1" t="d">
        <x:v>2026-06-14T00:00:00.000Z</x:v>
      </x:c>
      <x:c r="C202" s="1" t="d">
        <x:v>2026-06-19T00:00:00.000Z</x:v>
      </x:c>
      <x:c r="D202" t="str">
        <x:v>Finance</x:v>
      </x:c>
      <x:c r="E202" t="str">
        <x:v>Medium</x:v>
      </x:c>
      <x:c r="F202" t="str">
        <x:v>Finance data</x:v>
      </x:c>
      <x:c r="G202" t="str">
        <x:v>Closed</x:v>
      </x:c>
      <x:c r="H202" t="n">
        <x:v>7</x:v>
      </x:c>
      <x:c r="I202" t="n">
        <x:v>5</x:v>
      </x:c>
      <x:c r="J202" t="n">
        <x:v>1</x:v>
      </x:c>
      <x:c r="K202" t="n">
        <x:v>1</x:v>
      </x:c>
      <x:c r="L202" t="n">
        <x:v>0</x:v>
      </x:c>
    </x:row>
    <x:row r="203">
      <x:c r="A203" t="str">
        <x:v>GOV-0199</x:v>
      </x:c>
      <x:c r="B203" s="1" t="d">
        <x:v>2026-01-06T00:00:00.000Z</x:v>
      </x:c>
      <x:c r="C203" s="1" t="d">
        <x:v>2026-01-22T00:00:00.000Z</x:v>
      </x:c>
      <x:c r="D203" t="str">
        <x:v>Customer</x:v>
      </x:c>
      <x:c r="E203" t="str">
        <x:v>Medium</x:v>
      </x:c>
      <x:c r="F203" t="str">
        <x:v>CRM stewardship</x:v>
      </x:c>
      <x:c r="G203" t="str">
        <x:v>Closed</x:v>
      </x:c>
      <x:c r="H203" t="n">
        <x:v>7</x:v>
      </x:c>
      <x:c r="I203" t="n">
        <x:v>16</x:v>
      </x:c>
      <x:c r="J203" t="n">
        <x:v>1</x:v>
      </x:c>
      <x:c r="K203" t="n">
        <x:v>0</x:v>
      </x:c>
      <x:c r="L203" t="n">
        <x:v>0</x:v>
      </x:c>
    </x:row>
    <x:row r="204">
      <x:c r="A204" t="str">
        <x:v>GOV-0200</x:v>
      </x:c>
      <x:c r="B204" s="1" t="d">
        <x:v>2026-03-15T00:00:00.000Z</x:v>
      </x:c>
      <x:c r="C204" s="1" t="d">
        <x:v>2026-03-30T00:00:00.000Z</x:v>
      </x:c>
      <x:c r="D204" t="str">
        <x:v>Product</x:v>
      </x:c>
      <x:c r="E204" t="str">
        <x:v>Medium</x:v>
      </x:c>
      <x:c r="F204" t="str">
        <x:v>Product ops</x:v>
      </x:c>
      <x:c r="G204" t="str">
        <x:v>Closed</x:v>
      </x:c>
      <x:c r="H204" t="n">
        <x:v>7</x:v>
      </x:c>
      <x:c r="I204" t="n">
        <x:v>15</x:v>
      </x:c>
      <x:c r="J204" t="n">
        <x:v>1</x:v>
      </x:c>
      <x:c r="K204" t="n">
        <x:v>0</x:v>
      </x:c>
      <x:c r="L204" t="n">
        <x:v>0</x:v>
      </x:c>
    </x:row>
    <x:row r="205">
      <x:c r="A205" t="str">
        <x:v>GOV-0201</x:v>
      </x:c>
      <x:c r="B205" s="1" t="d">
        <x:v>2026-05-25T00:00:00.000Z</x:v>
      </x:c>
      <x:c r="C205" s="1" t="d">
        <x:v>2026-06-02T00:00:00.000Z</x:v>
      </x:c>
      <x:c r="D205" t="str">
        <x:v>Customer</x:v>
      </x:c>
      <x:c r="E205" t="str">
        <x:v>Low</x:v>
      </x:c>
      <x:c r="F205" t="str">
        <x:v>CRM stewardship</x:v>
      </x:c>
      <x:c r="G205" t="str">
        <x:v>Closed</x:v>
      </x:c>
      <x:c r="H205" t="n">
        <x:v>14</x:v>
      </x:c>
      <x:c r="I205" t="n">
        <x:v>8</x:v>
      </x:c>
      <x:c r="J205" t="n">
        <x:v>1</x:v>
      </x:c>
      <x:c r="K205" t="n">
        <x:v>1</x:v>
      </x:c>
      <x:c r="L205" t="n">
        <x:v>0</x:v>
      </x:c>
    </x:row>
    <x:row r="206">
      <x:c r="A206" t="str">
        <x:v>GOV-0202</x:v>
      </x:c>
      <x:c r="B206" s="1" t="d">
        <x:v>2026-04-06T00:00:00.000Z</x:v>
      </x:c>
      <x:c r="C206" s="1"/>
      <x:c r="D206" t="str">
        <x:v>Finance</x:v>
      </x:c>
      <x:c r="E206" t="str">
        <x:v>Medium</x:v>
      </x:c>
      <x:c r="F206" t="str">
        <x:v>Finance data</x:v>
      </x:c>
      <x:c r="G206" t="str">
        <x:v>Open</x:v>
      </x:c>
      <x:c r="H206" t="n">
        <x:v>7</x:v>
      </x:c>
      <x:c r="I206" t="n">
        <x:v>85</x:v>
      </x:c>
      <x:c r="J206" t="n">
        <x:v>0</x:v>
      </x:c>
      <x:c r="K206" t="n">
        <x:v>0</x:v>
      </x:c>
      <x:c r="L206" t="n">
        <x:v>1</x:v>
      </x:c>
    </x:row>
    <x:row r="207">
      <x:c r="A207" t="str">
        <x:v>GOV-0203</x:v>
      </x:c>
      <x:c r="B207" s="1" t="d">
        <x:v>2026-04-12T00:00:00.000Z</x:v>
      </x:c>
      <x:c r="C207" s="1" t="d">
        <x:v>2026-04-14T00:00:00.000Z</x:v>
      </x:c>
      <x:c r="D207" t="str">
        <x:v>Customer</x:v>
      </x:c>
      <x:c r="E207" t="str">
        <x:v>High</x:v>
      </x:c>
      <x:c r="F207" t="str">
        <x:v>CRM stewardship</x:v>
      </x:c>
      <x:c r="G207" t="str">
        <x:v>Closed</x:v>
      </x:c>
      <x:c r="H207" t="n">
        <x:v>3</x:v>
      </x:c>
      <x:c r="I207" t="n">
        <x:v>2</x:v>
      </x:c>
      <x:c r="J207" t="n">
        <x:v>1</x:v>
      </x:c>
      <x:c r="K207" t="n">
        <x:v>1</x:v>
      </x:c>
      <x:c r="L207" t="n">
        <x:v>0</x:v>
      </x:c>
    </x:row>
    <x:row r="208">
      <x:c r="A208" t="str">
        <x:v>GOV-0204</x:v>
      </x:c>
      <x:c r="B208" s="1" t="d">
        <x:v>2026-05-11T00:00:00.000Z</x:v>
      </x:c>
      <x:c r="C208" s="1" t="d">
        <x:v>2026-06-03T00:00:00.000Z</x:v>
      </x:c>
      <x:c r="D208" t="str">
        <x:v>Supplier</x:v>
      </x:c>
      <x:c r="E208" t="str">
        <x:v>Low</x:v>
      </x:c>
      <x:c r="F208" t="str">
        <x:v>Procurement data</x:v>
      </x:c>
      <x:c r="G208" t="str">
        <x:v>Closed</x:v>
      </x:c>
      <x:c r="H208" t="n">
        <x:v>14</x:v>
      </x:c>
      <x:c r="I208" t="n">
        <x:v>23</x:v>
      </x:c>
      <x:c r="J208" t="n">
        <x:v>1</x:v>
      </x:c>
      <x:c r="K208" t="n">
        <x:v>0</x:v>
      </x:c>
      <x:c r="L208" t="n">
        <x:v>0</x:v>
      </x:c>
    </x:row>
    <x:row r="209">
      <x:c r="A209" t="str">
        <x:v>GOV-0205</x:v>
      </x:c>
      <x:c r="B209" s="1" t="d">
        <x:v>2026-06-29T00:00:00.000Z</x:v>
      </x:c>
      <x:c r="C209" s="1"/>
      <x:c r="D209" t="str">
        <x:v>Supplier</x:v>
      </x:c>
      <x:c r="E209" t="str">
        <x:v>Low</x:v>
      </x:c>
      <x:c r="F209" t="str">
        <x:v>Procurement data</x:v>
      </x:c>
      <x:c r="G209" t="str">
        <x:v>Open</x:v>
      </x:c>
      <x:c r="H209" t="n">
        <x:v>14</x:v>
      </x:c>
      <x:c r="I209" t="n">
        <x:v>1</x:v>
      </x:c>
      <x:c r="J209" t="n">
        <x:v>0</x:v>
      </x:c>
      <x:c r="K209" t="n">
        <x:v>0</x:v>
      </x:c>
      <x:c r="L209" t="n">
        <x:v>0</x:v>
      </x:c>
    </x:row>
    <x:row r="210">
      <x:c r="A210" t="str">
        <x:v>GOV-0206</x:v>
      </x:c>
      <x:c r="B210" s="1" t="d">
        <x:v>2026-02-10T00:00:00.000Z</x:v>
      </x:c>
      <x:c r="C210" s="1" t="d">
        <x:v>2026-02-22T00:00:00.000Z</x:v>
      </x:c>
      <x:c r="D210" t="str">
        <x:v>Product</x:v>
      </x:c>
      <x:c r="E210" t="str">
        <x:v>Medium</x:v>
      </x:c>
      <x:c r="F210" t="str">
        <x:v>Product ops</x:v>
      </x:c>
      <x:c r="G210" t="str">
        <x:v>Closed</x:v>
      </x:c>
      <x:c r="H210" t="n">
        <x:v>7</x:v>
      </x:c>
      <x:c r="I210" t="n">
        <x:v>12</x:v>
      </x:c>
      <x:c r="J210" t="n">
        <x:v>1</x:v>
      </x:c>
      <x:c r="K210" t="n">
        <x:v>0</x:v>
      </x:c>
      <x:c r="L210" t="n">
        <x:v>0</x:v>
      </x:c>
    </x:row>
    <x:row r="211">
      <x:c r="A211" t="str">
        <x:v>GOV-0207</x:v>
      </x:c>
      <x:c r="B211" s="1" t="d">
        <x:v>2026-05-11T00:00:00.000Z</x:v>
      </x:c>
      <x:c r="C211" s="1" t="d">
        <x:v>2026-05-20T00:00:00.000Z</x:v>
      </x:c>
      <x:c r="D211" t="str">
        <x:v>Product</x:v>
      </x:c>
      <x:c r="E211" t="str">
        <x:v>Medium</x:v>
      </x:c>
      <x:c r="F211" t="str">
        <x:v>Product ops</x:v>
      </x:c>
      <x:c r="G211" t="str">
        <x:v>Closed</x:v>
      </x:c>
      <x:c r="H211" t="n">
        <x:v>7</x:v>
      </x:c>
      <x:c r="I211" t="n">
        <x:v>9</x:v>
      </x:c>
      <x:c r="J211" t="n">
        <x:v>1</x:v>
      </x:c>
      <x:c r="K211" t="n">
        <x:v>0</x:v>
      </x:c>
      <x:c r="L211" t="n">
        <x:v>0</x:v>
      </x:c>
    </x:row>
    <x:row r="212">
      <x:c r="A212" t="str">
        <x:v>GOV-0208</x:v>
      </x:c>
      <x:c r="B212" s="1" t="d">
        <x:v>2026-05-27T00:00:00.000Z</x:v>
      </x:c>
      <x:c r="C212" s="1" t="d">
        <x:v>2026-06-02T00:00:00.000Z</x:v>
      </x:c>
      <x:c r="D212" t="str">
        <x:v>Product</x:v>
      </x:c>
      <x:c r="E212" t="str">
        <x:v>Low</x:v>
      </x:c>
      <x:c r="F212" t="str">
        <x:v>Product ops</x:v>
      </x:c>
      <x:c r="G212" t="str">
        <x:v>Closed</x:v>
      </x:c>
      <x:c r="H212" t="n">
        <x:v>14</x:v>
      </x:c>
      <x:c r="I212" t="n">
        <x:v>6</x:v>
      </x:c>
      <x:c r="J212" t="n">
        <x:v>1</x:v>
      </x:c>
      <x:c r="K212" t="n">
        <x:v>1</x:v>
      </x:c>
      <x:c r="L212" t="n">
        <x:v>0</x:v>
      </x:c>
    </x:row>
    <x:row r="213">
      <x:c r="A213" t="str">
        <x:v>GOV-0209</x:v>
      </x:c>
      <x:c r="B213" s="1" t="d">
        <x:v>2026-05-10T00:00:00.000Z</x:v>
      </x:c>
      <x:c r="C213" s="1" t="d">
        <x:v>2026-05-15T00:00:00.000Z</x:v>
      </x:c>
      <x:c r="D213" t="str">
        <x:v>Supplier</x:v>
      </x:c>
      <x:c r="E213" t="str">
        <x:v>Low</x:v>
      </x:c>
      <x:c r="F213" t="str">
        <x:v>Procurement data</x:v>
      </x:c>
      <x:c r="G213" t="str">
        <x:v>Closed</x:v>
      </x:c>
      <x:c r="H213" t="n">
        <x:v>14</x:v>
      </x:c>
      <x:c r="I213" t="n">
        <x:v>5</x:v>
      </x:c>
      <x:c r="J213" t="n">
        <x:v>1</x:v>
      </x:c>
      <x:c r="K213" t="n">
        <x:v>1</x:v>
      </x:c>
      <x:c r="L213" t="n">
        <x:v>0</x:v>
      </x:c>
    </x:row>
    <x:row r="214">
      <x:c r="A214" t="str">
        <x:v>GOV-0210</x:v>
      </x:c>
      <x:c r="B214" s="1" t="d">
        <x:v>2026-01-18T00:00:00.000Z</x:v>
      </x:c>
      <x:c r="C214" s="1" t="d">
        <x:v>2026-02-03T00:00:00.000Z</x:v>
      </x:c>
      <x:c r="D214" t="str">
        <x:v>Customer</x:v>
      </x:c>
      <x:c r="E214" t="str">
        <x:v>Medium</x:v>
      </x:c>
      <x:c r="F214" t="str">
        <x:v>CRM stewardship</x:v>
      </x:c>
      <x:c r="G214" t="str">
        <x:v>Closed</x:v>
      </x:c>
      <x:c r="H214" t="n">
        <x:v>7</x:v>
      </x:c>
      <x:c r="I214" t="n">
        <x:v>16</x:v>
      </x:c>
      <x:c r="J214" t="n">
        <x:v>1</x:v>
      </x:c>
      <x:c r="K214" t="n">
        <x:v>0</x:v>
      </x:c>
      <x:c r="L214" t="n">
        <x:v>0</x:v>
      </x:c>
    </x:row>
    <x:row r="215">
      <x:c r="A215" t="str">
        <x:v>GOV-0211</x:v>
      </x:c>
      <x:c r="B215" s="1" t="d">
        <x:v>2026-04-11T00:00:00.000Z</x:v>
      </x:c>
      <x:c r="C215" s="1" t="d">
        <x:v>2026-04-12T00:00:00.000Z</x:v>
      </x:c>
      <x:c r="D215" t="str">
        <x:v>Customer</x:v>
      </x:c>
      <x:c r="E215" t="str">
        <x:v>Low</x:v>
      </x:c>
      <x:c r="F215" t="str">
        <x:v>CRM stewardship</x:v>
      </x:c>
      <x:c r="G215" t="str">
        <x:v>Closed</x:v>
      </x:c>
      <x:c r="H215" t="n">
        <x:v>14</x:v>
      </x:c>
      <x:c r="I215" t="n">
        <x:v>1</x:v>
      </x:c>
      <x:c r="J215" t="n">
        <x:v>1</x:v>
      </x:c>
      <x:c r="K215" t="n">
        <x:v>1</x:v>
      </x:c>
      <x:c r="L215" t="n">
        <x:v>0</x:v>
      </x:c>
    </x:row>
    <x:row r="216">
      <x:c r="A216" t="str">
        <x:v>GOV-0212</x:v>
      </x:c>
      <x:c r="B216" s="1" t="d">
        <x:v>2026-03-17T00:00:00.000Z</x:v>
      </x:c>
      <x:c r="C216" s="1" t="d">
        <x:v>2026-04-05T00:00:00.000Z</x:v>
      </x:c>
      <x:c r="D216" t="str">
        <x:v>Product</x:v>
      </x:c>
      <x:c r="E216" t="str">
        <x:v>Medium</x:v>
      </x:c>
      <x:c r="F216" t="str">
        <x:v>Product ops</x:v>
      </x:c>
      <x:c r="G216" t="str">
        <x:v>Closed</x:v>
      </x:c>
      <x:c r="H216" t="n">
        <x:v>7</x:v>
      </x:c>
      <x:c r="I216" t="n">
        <x:v>19</x:v>
      </x:c>
      <x:c r="J216" t="n">
        <x:v>1</x:v>
      </x:c>
      <x:c r="K216" t="n">
        <x:v>0</x:v>
      </x:c>
      <x:c r="L216" t="n">
        <x:v>0</x:v>
      </x:c>
    </x:row>
    <x:row r="217">
      <x:c r="A217" t="str">
        <x:v>GOV-0213</x:v>
      </x:c>
      <x:c r="B217" s="1" t="d">
        <x:v>2026-05-31T00:00:00.000Z</x:v>
      </x:c>
      <x:c r="C217" s="1"/>
      <x:c r="D217" t="str">
        <x:v>Product</x:v>
      </x:c>
      <x:c r="E217" t="str">
        <x:v>Medium</x:v>
      </x:c>
      <x:c r="F217" t="str">
        <x:v>Product ops</x:v>
      </x:c>
      <x:c r="G217" t="str">
        <x:v>Open</x:v>
      </x:c>
      <x:c r="H217" t="n">
        <x:v>7</x:v>
      </x:c>
      <x:c r="I217" t="n">
        <x:v>30</x:v>
      </x:c>
      <x:c r="J217" t="n">
        <x:v>0</x:v>
      </x:c>
      <x:c r="K217" t="n">
        <x:v>0</x:v>
      </x:c>
      <x:c r="L217" t="n">
        <x:v>1</x:v>
      </x:c>
    </x:row>
    <x:row r="218">
      <x:c r="A218" t="str">
        <x:v>GOV-0214</x:v>
      </x:c>
      <x:c r="B218" s="1" t="d">
        <x:v>2026-03-01T00:00:00.000Z</x:v>
      </x:c>
      <x:c r="C218" s="1"/>
      <x:c r="D218" t="str">
        <x:v>Supplier</x:v>
      </x:c>
      <x:c r="E218" t="str">
        <x:v>Low</x:v>
      </x:c>
      <x:c r="F218" t="str">
        <x:v>Procurement data</x:v>
      </x:c>
      <x:c r="G218" t="str">
        <x:v>Open</x:v>
      </x:c>
      <x:c r="H218" t="n">
        <x:v>14</x:v>
      </x:c>
      <x:c r="I218" t="n">
        <x:v>121</x:v>
      </x:c>
      <x:c r="J218" t="n">
        <x:v>0</x:v>
      </x:c>
      <x:c r="K218" t="n">
        <x:v>0</x:v>
      </x:c>
      <x:c r="L218" t="n">
        <x:v>1</x:v>
      </x:c>
    </x:row>
    <x:row r="219">
      <x:c r="A219" t="str">
        <x:v>GOV-0215</x:v>
      </x:c>
      <x:c r="B219" s="1" t="d">
        <x:v>2026-02-27T00:00:00.000Z</x:v>
      </x:c>
      <x:c r="C219" s="1" t="d">
        <x:v>2026-03-13T00:00:00.000Z</x:v>
      </x:c>
      <x:c r="D219" t="str">
        <x:v>Finance</x:v>
      </x:c>
      <x:c r="E219" t="str">
        <x:v>Medium</x:v>
      </x:c>
      <x:c r="F219" t="str">
        <x:v>Finance data</x:v>
      </x:c>
      <x:c r="G219" t="str">
        <x:v>Closed</x:v>
      </x:c>
      <x:c r="H219" t="n">
        <x:v>7</x:v>
      </x:c>
      <x:c r="I219" t="n">
        <x:v>14</x:v>
      </x:c>
      <x:c r="J219" t="n">
        <x:v>1</x:v>
      </x:c>
      <x:c r="K219" t="n">
        <x:v>0</x:v>
      </x:c>
      <x:c r="L219" t="n">
        <x:v>0</x:v>
      </x:c>
    </x:row>
    <x:row r="220">
      <x:c r="A220" t="str">
        <x:v>GOV-0216</x:v>
      </x:c>
      <x:c r="B220" s="1" t="d">
        <x:v>2026-05-19T00:00:00.000Z</x:v>
      </x:c>
      <x:c r="C220" s="1" t="d">
        <x:v>2026-06-06T00:00:00.000Z</x:v>
      </x:c>
      <x:c r="D220" t="str">
        <x:v>Customer</x:v>
      </x:c>
      <x:c r="E220" t="str">
        <x:v>Medium</x:v>
      </x:c>
      <x:c r="F220" t="str">
        <x:v>CRM stewardship</x:v>
      </x:c>
      <x:c r="G220" t="str">
        <x:v>Closed</x:v>
      </x:c>
      <x:c r="H220" t="n">
        <x:v>7</x:v>
      </x:c>
      <x:c r="I220" t="n">
        <x:v>18</x:v>
      </x:c>
      <x:c r="J220" t="n">
        <x:v>1</x:v>
      </x:c>
      <x:c r="K220" t="n">
        <x:v>0</x:v>
      </x:c>
      <x:c r="L220" t="n">
        <x:v>0</x:v>
      </x:c>
    </x:row>
    <x:row r="221">
      <x:c r="A221" t="str">
        <x:v>GOV-0217</x:v>
      </x:c>
      <x:c r="B221" s="1" t="d">
        <x:v>2026-01-08T00:00:00.000Z</x:v>
      </x:c>
      <x:c r="C221" s="1" t="d">
        <x:v>2026-01-16T00:00:00.000Z</x:v>
      </x:c>
      <x:c r="D221" t="str">
        <x:v>Supplier</x:v>
      </x:c>
      <x:c r="E221" t="str">
        <x:v>Low</x:v>
      </x:c>
      <x:c r="F221" t="str">
        <x:v>Procurement data</x:v>
      </x:c>
      <x:c r="G221" t="str">
        <x:v>Closed</x:v>
      </x:c>
      <x:c r="H221" t="n">
        <x:v>14</x:v>
      </x:c>
      <x:c r="I221" t="n">
        <x:v>8</x:v>
      </x:c>
      <x:c r="J221" t="n">
        <x:v>1</x:v>
      </x:c>
      <x:c r="K221" t="n">
        <x:v>1</x:v>
      </x:c>
      <x:c r="L221" t="n">
        <x:v>0</x:v>
      </x:c>
    </x:row>
    <x:row r="222">
      <x:c r="A222" t="str">
        <x:v>GOV-0218</x:v>
      </x:c>
      <x:c r="B222" s="1" t="d">
        <x:v>2026-03-27T00:00:00.000Z</x:v>
      </x:c>
      <x:c r="C222" s="1" t="d">
        <x:v>2026-04-14T00:00:00.000Z</x:v>
      </x:c>
      <x:c r="D222" t="str">
        <x:v>Customer</x:v>
      </x:c>
      <x:c r="E222" t="str">
        <x:v>High</x:v>
      </x:c>
      <x:c r="F222" t="str">
        <x:v>CRM stewardship</x:v>
      </x:c>
      <x:c r="G222" t="str">
        <x:v>Closed</x:v>
      </x:c>
      <x:c r="H222" t="n">
        <x:v>3</x:v>
      </x:c>
      <x:c r="I222" t="n">
        <x:v>18</x:v>
      </x:c>
      <x:c r="J222" t="n">
        <x:v>1</x:v>
      </x:c>
      <x:c r="K222" t="n">
        <x:v>0</x:v>
      </x:c>
      <x:c r="L222" t="n">
        <x:v>0</x:v>
      </x:c>
    </x:row>
    <x:row r="223">
      <x:c r="A223" t="str">
        <x:v>GOV-0219</x:v>
      </x:c>
      <x:c r="B223" s="1" t="d">
        <x:v>2026-05-10T00:00:00.000Z</x:v>
      </x:c>
      <x:c r="C223" s="1"/>
      <x:c r="D223" t="str">
        <x:v>Customer</x:v>
      </x:c>
      <x:c r="E223" t="str">
        <x:v>Medium</x:v>
      </x:c>
      <x:c r="F223" t="str">
        <x:v>CRM stewardship</x:v>
      </x:c>
      <x:c r="G223" t="str">
        <x:v>Open</x:v>
      </x:c>
      <x:c r="H223" t="n">
        <x:v>7</x:v>
      </x:c>
      <x:c r="I223" t="n">
        <x:v>51</x:v>
      </x:c>
      <x:c r="J223" t="n">
        <x:v>0</x:v>
      </x:c>
      <x:c r="K223" t="n">
        <x:v>0</x:v>
      </x:c>
      <x:c r="L223" t="n">
        <x:v>1</x:v>
      </x:c>
    </x:row>
    <x:row r="224">
      <x:c r="A224" t="str">
        <x:v>GOV-0220</x:v>
      </x:c>
      <x:c r="B224" s="1" t="d">
        <x:v>2026-04-07T00:00:00.000Z</x:v>
      </x:c>
      <x:c r="C224" s="1" t="d">
        <x:v>2026-04-26T00:00:00.000Z</x:v>
      </x:c>
      <x:c r="D224" t="str">
        <x:v>Product</x:v>
      </x:c>
      <x:c r="E224" t="str">
        <x:v>High</x:v>
      </x:c>
      <x:c r="F224" t="str">
        <x:v>Product ops</x:v>
      </x:c>
      <x:c r="G224" t="str">
        <x:v>Closed</x:v>
      </x:c>
      <x:c r="H224" t="n">
        <x:v>3</x:v>
      </x:c>
      <x:c r="I224" t="n">
        <x:v>19</x:v>
      </x:c>
      <x:c r="J224" t="n">
        <x:v>1</x:v>
      </x:c>
      <x:c r="K224" t="n">
        <x:v>0</x:v>
      </x:c>
      <x:c r="L224" t="n">
        <x:v>0</x:v>
      </x:c>
    </x:row>
    <x:row r="225">
      <x:c r="A225" t="str">
        <x:v>GOV-0221</x:v>
      </x:c>
      <x:c r="B225" s="1" t="d">
        <x:v>2026-01-11T00:00:00.000Z</x:v>
      </x:c>
      <x:c r="C225" s="1" t="d">
        <x:v>2026-01-23T00:00:00.000Z</x:v>
      </x:c>
      <x:c r="D225" t="str">
        <x:v>Finance</x:v>
      </x:c>
      <x:c r="E225" t="str">
        <x:v>Low</x:v>
      </x:c>
      <x:c r="F225" t="str">
        <x:v>Finance data</x:v>
      </x:c>
      <x:c r="G225" t="str">
        <x:v>Closed</x:v>
      </x:c>
      <x:c r="H225" t="n">
        <x:v>14</x:v>
      </x:c>
      <x:c r="I225" t="n">
        <x:v>12</x:v>
      </x:c>
      <x:c r="J225" t="n">
        <x:v>1</x:v>
      </x:c>
      <x:c r="K225" t="n">
        <x:v>1</x:v>
      </x:c>
      <x:c r="L225" t="n">
        <x:v>0</x:v>
      </x:c>
    </x:row>
    <x:row r="226">
      <x:c r="A226" t="str">
        <x:v>GOV-0222</x:v>
      </x:c>
      <x:c r="B226" s="1" t="d">
        <x:v>2026-05-24T00:00:00.000Z</x:v>
      </x:c>
      <x:c r="C226" s="1" t="d">
        <x:v>2026-06-09T00:00:00.000Z</x:v>
      </x:c>
      <x:c r="D226" t="str">
        <x:v>Customer</x:v>
      </x:c>
      <x:c r="E226" t="str">
        <x:v>Medium</x:v>
      </x:c>
      <x:c r="F226" t="str">
        <x:v>CRM stewardship</x:v>
      </x:c>
      <x:c r="G226" t="str">
        <x:v>Closed</x:v>
      </x:c>
      <x:c r="H226" t="n">
        <x:v>7</x:v>
      </x:c>
      <x:c r="I226" t="n">
        <x:v>16</x:v>
      </x:c>
      <x:c r="J226" t="n">
        <x:v>1</x:v>
      </x:c>
      <x:c r="K226" t="n">
        <x:v>0</x:v>
      </x:c>
      <x:c r="L226" t="n">
        <x:v>0</x:v>
      </x:c>
    </x:row>
    <x:row r="227">
      <x:c r="A227" t="str">
        <x:v>GOV-0223</x:v>
      </x:c>
      <x:c r="B227" s="1" t="d">
        <x:v>2026-02-12T00:00:00.000Z</x:v>
      </x:c>
      <x:c r="C227" s="1" t="d">
        <x:v>2026-03-03T00:00:00.000Z</x:v>
      </x:c>
      <x:c r="D227" t="str">
        <x:v>Finance</x:v>
      </x:c>
      <x:c r="E227" t="str">
        <x:v>Medium</x:v>
      </x:c>
      <x:c r="F227" t="str">
        <x:v>Finance data</x:v>
      </x:c>
      <x:c r="G227" t="str">
        <x:v>Closed</x:v>
      </x:c>
      <x:c r="H227" t="n">
        <x:v>7</x:v>
      </x:c>
      <x:c r="I227" t="n">
        <x:v>19</x:v>
      </x:c>
      <x:c r="J227" t="n">
        <x:v>1</x:v>
      </x:c>
      <x:c r="K227" t="n">
        <x:v>0</x:v>
      </x:c>
      <x:c r="L227" t="n">
        <x:v>0</x:v>
      </x:c>
    </x:row>
    <x:row r="228">
      <x:c r="A228" t="str">
        <x:v>GOV-0224</x:v>
      </x:c>
      <x:c r="B228" s="1" t="d">
        <x:v>2026-06-19T00:00:00.000Z</x:v>
      </x:c>
      <x:c r="C228" s="1" t="d">
        <x:v>2026-06-23T00:00:00.000Z</x:v>
      </x:c>
      <x:c r="D228" t="str">
        <x:v>Supplier</x:v>
      </x:c>
      <x:c r="E228" t="str">
        <x:v>Low</x:v>
      </x:c>
      <x:c r="F228" t="str">
        <x:v>Procurement data</x:v>
      </x:c>
      <x:c r="G228" t="str">
        <x:v>Closed</x:v>
      </x:c>
      <x:c r="H228" t="n">
        <x:v>14</x:v>
      </x:c>
      <x:c r="I228" t="n">
        <x:v>4</x:v>
      </x:c>
      <x:c r="J228" t="n">
        <x:v>1</x:v>
      </x:c>
      <x:c r="K228" t="n">
        <x:v>1</x:v>
      </x:c>
      <x:c r="L228" t="n">
        <x:v>0</x:v>
      </x:c>
    </x:row>
    <x:row r="229">
      <x:c r="A229" t="str">
        <x:v>GOV-0225</x:v>
      </x:c>
      <x:c r="B229" s="1" t="d">
        <x:v>2026-06-07T00:00:00.000Z</x:v>
      </x:c>
      <x:c r="C229" s="1" t="d">
        <x:v>2026-06-22T00:00:00.000Z</x:v>
      </x:c>
      <x:c r="D229" t="str">
        <x:v>Customer</x:v>
      </x:c>
      <x:c r="E229" t="str">
        <x:v>Medium</x:v>
      </x:c>
      <x:c r="F229" t="str">
        <x:v>CRM stewardship</x:v>
      </x:c>
      <x:c r="G229" t="str">
        <x:v>Closed</x:v>
      </x:c>
      <x:c r="H229" t="n">
        <x:v>7</x:v>
      </x:c>
      <x:c r="I229" t="n">
        <x:v>15</x:v>
      </x:c>
      <x:c r="J229" t="n">
        <x:v>1</x:v>
      </x:c>
      <x:c r="K229" t="n">
        <x:v>0</x:v>
      </x:c>
      <x:c r="L229" t="n">
        <x:v>0</x:v>
      </x:c>
    </x:row>
    <x:row r="230">
      <x:c r="A230" t="str">
        <x:v>GOV-0226</x:v>
      </x:c>
      <x:c r="B230" s="1" t="d">
        <x:v>2026-05-18T00:00:00.000Z</x:v>
      </x:c>
      <x:c r="C230" s="1" t="d">
        <x:v>2026-06-04T00:00:00.000Z</x:v>
      </x:c>
      <x:c r="D230" t="str">
        <x:v>Finance</x:v>
      </x:c>
      <x:c r="E230" t="str">
        <x:v>Medium</x:v>
      </x:c>
      <x:c r="F230" t="str">
        <x:v>Finance data</x:v>
      </x:c>
      <x:c r="G230" t="str">
        <x:v>Closed</x:v>
      </x:c>
      <x:c r="H230" t="n">
        <x:v>7</x:v>
      </x:c>
      <x:c r="I230" t="n">
        <x:v>17</x:v>
      </x:c>
      <x:c r="J230" t="n">
        <x:v>1</x:v>
      </x:c>
      <x:c r="K230" t="n">
        <x:v>0</x:v>
      </x:c>
      <x:c r="L230" t="n">
        <x:v>0</x:v>
      </x:c>
    </x:row>
    <x:row r="231">
      <x:c r="A231" t="str">
        <x:v>GOV-0227</x:v>
      </x:c>
      <x:c r="B231" s="1" t="d">
        <x:v>2026-06-07T00:00:00.000Z</x:v>
      </x:c>
      <x:c r="C231" s="1" t="d">
        <x:v>2026-06-25T00:00:00.000Z</x:v>
      </x:c>
      <x:c r="D231" t="str">
        <x:v>Customer</x:v>
      </x:c>
      <x:c r="E231" t="str">
        <x:v>Medium</x:v>
      </x:c>
      <x:c r="F231" t="str">
        <x:v>CRM stewardship</x:v>
      </x:c>
      <x:c r="G231" t="str">
        <x:v>Closed</x:v>
      </x:c>
      <x:c r="H231" t="n">
        <x:v>7</x:v>
      </x:c>
      <x:c r="I231" t="n">
        <x:v>18</x:v>
      </x:c>
      <x:c r="J231" t="n">
        <x:v>1</x:v>
      </x:c>
      <x:c r="K231" t="n">
        <x:v>0</x:v>
      </x:c>
      <x:c r="L231" t="n">
        <x:v>0</x:v>
      </x:c>
    </x:row>
    <x:row r="232">
      <x:c r="A232" t="str">
        <x:v>GOV-0228</x:v>
      </x:c>
      <x:c r="B232" s="1" t="d">
        <x:v>2026-05-09T00:00:00.000Z</x:v>
      </x:c>
      <x:c r="C232" s="1" t="d">
        <x:v>2026-05-29T00:00:00.000Z</x:v>
      </x:c>
      <x:c r="D232" t="str">
        <x:v>Supplier</x:v>
      </x:c>
      <x:c r="E232" t="str">
        <x:v>Low</x:v>
      </x:c>
      <x:c r="F232" t="str">
        <x:v>Procurement data</x:v>
      </x:c>
      <x:c r="G232" t="str">
        <x:v>Closed</x:v>
      </x:c>
      <x:c r="H232" t="n">
        <x:v>14</x:v>
      </x:c>
      <x:c r="I232" t="n">
        <x:v>20</x:v>
      </x:c>
      <x:c r="J232" t="n">
        <x:v>1</x:v>
      </x:c>
      <x:c r="K232" t="n">
        <x:v>0</x:v>
      </x:c>
      <x:c r="L232" t="n">
        <x:v>0</x:v>
      </x:c>
    </x:row>
    <x:row r="233">
      <x:c r="A233" t="str">
        <x:v>GOV-0229</x:v>
      </x:c>
      <x:c r="B233" s="1" t="d">
        <x:v>2026-01-23T00:00:00.000Z</x:v>
      </x:c>
      <x:c r="C233" s="1" t="d">
        <x:v>2026-01-25T00:00:00.000Z</x:v>
      </x:c>
      <x:c r="D233" t="str">
        <x:v>Product</x:v>
      </x:c>
      <x:c r="E233" t="str">
        <x:v>Low</x:v>
      </x:c>
      <x:c r="F233" t="str">
        <x:v>Product ops</x:v>
      </x:c>
      <x:c r="G233" t="str">
        <x:v>Closed</x:v>
      </x:c>
      <x:c r="H233" t="n">
        <x:v>14</x:v>
      </x:c>
      <x:c r="I233" t="n">
        <x:v>2</x:v>
      </x:c>
      <x:c r="J233" t="n">
        <x:v>1</x:v>
      </x:c>
      <x:c r="K233" t="n">
        <x:v>1</x:v>
      </x:c>
      <x:c r="L233" t="n">
        <x:v>0</x:v>
      </x:c>
    </x:row>
    <x:row r="234">
      <x:c r="A234" t="str">
        <x:v>GOV-0230</x:v>
      </x:c>
      <x:c r="B234" s="1" t="d">
        <x:v>2026-04-03T00:00:00.000Z</x:v>
      </x:c>
      <x:c r="C234" s="1"/>
      <x:c r="D234" t="str">
        <x:v>Supplier</x:v>
      </x:c>
      <x:c r="E234" t="str">
        <x:v>Medium</x:v>
      </x:c>
      <x:c r="F234" t="str">
        <x:v>Procurement data</x:v>
      </x:c>
      <x:c r="G234" t="str">
        <x:v>Open</x:v>
      </x:c>
      <x:c r="H234" t="n">
        <x:v>7</x:v>
      </x:c>
      <x:c r="I234" t="n">
        <x:v>88</x:v>
      </x:c>
      <x:c r="J234" t="n">
        <x:v>0</x:v>
      </x:c>
      <x:c r="K234" t="n">
        <x:v>0</x:v>
      </x:c>
      <x:c r="L234" t="n">
        <x:v>1</x:v>
      </x:c>
    </x:row>
    <x:row r="235">
      <x:c r="A235" t="str">
        <x:v>GOV-0231</x:v>
      </x:c>
      <x:c r="B235" s="1" t="d">
        <x:v>2026-01-10T00:00:00.000Z</x:v>
      </x:c>
      <x:c r="C235" s="1" t="d">
        <x:v>2026-01-30T00:00:00.000Z</x:v>
      </x:c>
      <x:c r="D235" t="str">
        <x:v>Product</x:v>
      </x:c>
      <x:c r="E235" t="str">
        <x:v>Low</x:v>
      </x:c>
      <x:c r="F235" t="str">
        <x:v>Product ops</x:v>
      </x:c>
      <x:c r="G235" t="str">
        <x:v>Closed</x:v>
      </x:c>
      <x:c r="H235" t="n">
        <x:v>14</x:v>
      </x:c>
      <x:c r="I235" t="n">
        <x:v>20</x:v>
      </x:c>
      <x:c r="J235" t="n">
        <x:v>1</x:v>
      </x:c>
      <x:c r="K235" t="n">
        <x:v>0</x:v>
      </x:c>
      <x:c r="L235" t="n">
        <x:v>0</x:v>
      </x:c>
    </x:row>
    <x:row r="236">
      <x:c r="A236" t="str">
        <x:v>GOV-0232</x:v>
      </x:c>
      <x:c r="B236" s="1" t="d">
        <x:v>2026-01-25T00:00:00.000Z</x:v>
      </x:c>
      <x:c r="C236" s="1" t="d">
        <x:v>2026-02-16T00:00:00.000Z</x:v>
      </x:c>
      <x:c r="D236" t="str">
        <x:v>Supplier</x:v>
      </x:c>
      <x:c r="E236" t="str">
        <x:v>Low</x:v>
      </x:c>
      <x:c r="F236" t="str">
        <x:v>Procurement data</x:v>
      </x:c>
      <x:c r="G236" t="str">
        <x:v>Closed</x:v>
      </x:c>
      <x:c r="H236" t="n">
        <x:v>14</x:v>
      </x:c>
      <x:c r="I236" t="n">
        <x:v>22</x:v>
      </x:c>
      <x:c r="J236" t="n">
        <x:v>1</x:v>
      </x:c>
      <x:c r="K236" t="n">
        <x:v>0</x:v>
      </x:c>
      <x:c r="L236" t="n">
        <x:v>0</x:v>
      </x:c>
    </x:row>
    <x:row r="237">
      <x:c r="A237" t="str">
        <x:v>GOV-0233</x:v>
      </x:c>
      <x:c r="B237" s="1" t="d">
        <x:v>2026-02-01T00:00:00.000Z</x:v>
      </x:c>
      <x:c r="C237" s="1" t="d">
        <x:v>2026-02-03T00:00:00.000Z</x:v>
      </x:c>
      <x:c r="D237" t="str">
        <x:v>Product</x:v>
      </x:c>
      <x:c r="E237" t="str">
        <x:v>Low</x:v>
      </x:c>
      <x:c r="F237" t="str">
        <x:v>Product ops</x:v>
      </x:c>
      <x:c r="G237" t="str">
        <x:v>Closed</x:v>
      </x:c>
      <x:c r="H237" t="n">
        <x:v>14</x:v>
      </x:c>
      <x:c r="I237" t="n">
        <x:v>2</x:v>
      </x:c>
      <x:c r="J237" t="n">
        <x:v>1</x:v>
      </x:c>
      <x:c r="K237" t="n">
        <x:v>1</x:v>
      </x:c>
      <x:c r="L237" t="n">
        <x:v>0</x:v>
      </x:c>
    </x:row>
    <x:row r="238">
      <x:c r="A238" t="str">
        <x:v>GOV-0234</x:v>
      </x:c>
      <x:c r="B238" s="1" t="d">
        <x:v>2026-05-21T00:00:00.000Z</x:v>
      </x:c>
      <x:c r="C238" s="1" t="d">
        <x:v>2026-06-08T00:00:00.000Z</x:v>
      </x:c>
      <x:c r="D238" t="str">
        <x:v>Customer</x:v>
      </x:c>
      <x:c r="E238" t="str">
        <x:v>Medium</x:v>
      </x:c>
      <x:c r="F238" t="str">
        <x:v>CRM stewardship</x:v>
      </x:c>
      <x:c r="G238" t="str">
        <x:v>Closed</x:v>
      </x:c>
      <x:c r="H238" t="n">
        <x:v>7</x:v>
      </x:c>
      <x:c r="I238" t="n">
        <x:v>18</x:v>
      </x:c>
      <x:c r="J238" t="n">
        <x:v>1</x:v>
      </x:c>
      <x:c r="K238" t="n">
        <x:v>0</x:v>
      </x:c>
      <x:c r="L238" t="n">
        <x:v>0</x:v>
      </x:c>
    </x:row>
    <x:row r="239">
      <x:c r="A239" t="str">
        <x:v>GOV-0235</x:v>
      </x:c>
      <x:c r="B239" s="1" t="d">
        <x:v>2026-03-13T00:00:00.000Z</x:v>
      </x:c>
      <x:c r="C239" s="1"/>
      <x:c r="D239" t="str">
        <x:v>Supplier</x:v>
      </x:c>
      <x:c r="E239" t="str">
        <x:v>High</x:v>
      </x:c>
      <x:c r="F239" t="str">
        <x:v>Procurement data</x:v>
      </x:c>
      <x:c r="G239" t="str">
        <x:v>Open</x:v>
      </x:c>
      <x:c r="H239" t="n">
        <x:v>3</x:v>
      </x:c>
      <x:c r="I239" t="n">
        <x:v>109</x:v>
      </x:c>
      <x:c r="J239" t="n">
        <x:v>0</x:v>
      </x:c>
      <x:c r="K239" t="n">
        <x:v>0</x:v>
      </x:c>
      <x:c r="L239" t="n">
        <x:v>1</x:v>
      </x:c>
    </x:row>
    <x:row r="240">
      <x:c r="A240" t="str">
        <x:v>GOV-0236</x:v>
      </x:c>
      <x:c r="B240" s="1" t="d">
        <x:v>2026-05-21T00:00:00.000Z</x:v>
      </x:c>
      <x:c r="C240" s="1" t="d">
        <x:v>2026-06-06T00:00:00.000Z</x:v>
      </x:c>
      <x:c r="D240" t="str">
        <x:v>Customer</x:v>
      </x:c>
      <x:c r="E240" t="str">
        <x:v>Medium</x:v>
      </x:c>
      <x:c r="F240" t="str">
        <x:v>CRM stewardship</x:v>
      </x:c>
      <x:c r="G240" t="str">
        <x:v>Closed</x:v>
      </x:c>
      <x:c r="H240" t="n">
        <x:v>7</x:v>
      </x:c>
      <x:c r="I240" t="n">
        <x:v>16</x:v>
      </x:c>
      <x:c r="J240" t="n">
        <x:v>1</x:v>
      </x:c>
      <x:c r="K240" t="n">
        <x:v>0</x:v>
      </x:c>
      <x:c r="L240" t="n">
        <x:v>0</x:v>
      </x:c>
    </x:row>
    <x:row r="241">
      <x:c r="A241" t="str">
        <x:v>GOV-0237</x:v>
      </x:c>
      <x:c r="B241" s="1" t="d">
        <x:v>2026-06-08T00:00:00.000Z</x:v>
      </x:c>
      <x:c r="C241" s="1" t="d">
        <x:v>2026-06-25T00:00:00.000Z</x:v>
      </x:c>
      <x:c r="D241" t="str">
        <x:v>Finance</x:v>
      </x:c>
      <x:c r="E241" t="str">
        <x:v>Medium</x:v>
      </x:c>
      <x:c r="F241" t="str">
        <x:v>Finance data</x:v>
      </x:c>
      <x:c r="G241" t="str">
        <x:v>Closed</x:v>
      </x:c>
      <x:c r="H241" t="n">
        <x:v>7</x:v>
      </x:c>
      <x:c r="I241" t="n">
        <x:v>17</x:v>
      </x:c>
      <x:c r="J241" t="n">
        <x:v>1</x:v>
      </x:c>
      <x:c r="K241" t="n">
        <x:v>0</x:v>
      </x:c>
      <x:c r="L241" t="n">
        <x:v>0</x:v>
      </x:c>
    </x:row>
    <x:row r="242">
      <x:c r="A242" t="str">
        <x:v>GOV-0238</x:v>
      </x:c>
      <x:c r="B242" s="1" t="d">
        <x:v>2026-05-08T00:00:00.000Z</x:v>
      </x:c>
      <x:c r="C242" s="1"/>
      <x:c r="D242" t="str">
        <x:v>Product</x:v>
      </x:c>
      <x:c r="E242" t="str">
        <x:v>Low</x:v>
      </x:c>
      <x:c r="F242" t="str">
        <x:v>Product ops</x:v>
      </x:c>
      <x:c r="G242" t="str">
        <x:v>Open</x:v>
      </x:c>
      <x:c r="H242" t="n">
        <x:v>14</x:v>
      </x:c>
      <x:c r="I242" t="n">
        <x:v>53</x:v>
      </x:c>
      <x:c r="J242" t="n">
        <x:v>0</x:v>
      </x:c>
      <x:c r="K242" t="n">
        <x:v>0</x:v>
      </x:c>
      <x:c r="L242" t="n">
        <x:v>1</x:v>
      </x:c>
    </x:row>
    <x:row r="243">
      <x:c r="A243" t="str">
        <x:v>GOV-0239</x:v>
      </x:c>
      <x:c r="B243" s="1" t="d">
        <x:v>2026-01-02T00:00:00.000Z</x:v>
      </x:c>
      <x:c r="C243" s="1" t="d">
        <x:v>2026-01-12T00:00:00.000Z</x:v>
      </x:c>
      <x:c r="D243" t="str">
        <x:v>Product</x:v>
      </x:c>
      <x:c r="E243" t="str">
        <x:v>Medium</x:v>
      </x:c>
      <x:c r="F243" t="str">
        <x:v>Product ops</x:v>
      </x:c>
      <x:c r="G243" t="str">
        <x:v>Closed</x:v>
      </x:c>
      <x:c r="H243" t="n">
        <x:v>7</x:v>
      </x:c>
      <x:c r="I243" t="n">
        <x:v>10</x:v>
      </x:c>
      <x:c r="J243" t="n">
        <x:v>1</x:v>
      </x:c>
      <x:c r="K243" t="n">
        <x:v>0</x:v>
      </x:c>
      <x:c r="L243" t="n">
        <x:v>0</x:v>
      </x:c>
    </x:row>
    <x:row r="244">
      <x:c r="A244" t="str">
        <x:v>GOV-0240</x:v>
      </x:c>
      <x:c r="B244" s="1" t="d">
        <x:v>2026-03-11T00:00:00.000Z</x:v>
      </x:c>
      <x:c r="C244" s="1" t="d">
        <x:v>2026-03-13T00:00:00.000Z</x:v>
      </x:c>
      <x:c r="D244" t="str">
        <x:v>Product</x:v>
      </x:c>
      <x:c r="E244" t="str">
        <x:v>Medium</x:v>
      </x:c>
      <x:c r="F244" t="str">
        <x:v>Product ops</x:v>
      </x:c>
      <x:c r="G244" t="str">
        <x:v>Closed</x:v>
      </x:c>
      <x:c r="H244" t="n">
        <x:v>7</x:v>
      </x:c>
      <x:c r="I244" t="n">
        <x:v>2</x:v>
      </x:c>
      <x:c r="J244" t="n">
        <x:v>1</x:v>
      </x:c>
      <x:c r="K244" t="n">
        <x:v>1</x:v>
      </x:c>
      <x:c r="L244" t="n">
        <x:v>0</x:v>
      </x:c>
    </x:row>
    <x:row r="245">
      <x:c r="A245" t="str">
        <x:v>GOV-0241</x:v>
      </x:c>
      <x:c r="B245" s="1" t="d">
        <x:v>2026-03-10T00:00:00.000Z</x:v>
      </x:c>
      <x:c r="C245" s="1" t="d">
        <x:v>2026-03-27T00:00:00.000Z</x:v>
      </x:c>
      <x:c r="D245" t="str">
        <x:v>Product</x:v>
      </x:c>
      <x:c r="E245" t="str">
        <x:v>High</x:v>
      </x:c>
      <x:c r="F245" t="str">
        <x:v>Product ops</x:v>
      </x:c>
      <x:c r="G245" t="str">
        <x:v>Closed</x:v>
      </x:c>
      <x:c r="H245" t="n">
        <x:v>3</x:v>
      </x:c>
      <x:c r="I245" t="n">
        <x:v>17</x:v>
      </x:c>
      <x:c r="J245" t="n">
        <x:v>1</x:v>
      </x:c>
      <x:c r="K245" t="n">
        <x:v>0</x:v>
      </x:c>
      <x:c r="L245" t="n">
        <x:v>0</x:v>
      </x:c>
    </x:row>
    <x:row r="246">
      <x:c r="A246" t="str">
        <x:v>GOV-0242</x:v>
      </x:c>
      <x:c r="B246" s="1" t="d">
        <x:v>2026-03-30T00:00:00.000Z</x:v>
      </x:c>
      <x:c r="C246" s="1" t="d">
        <x:v>2026-04-08T00:00:00.000Z</x:v>
      </x:c>
      <x:c r="D246" t="str">
        <x:v>Finance</x:v>
      </x:c>
      <x:c r="E246" t="str">
        <x:v>High</x:v>
      </x:c>
      <x:c r="F246" t="str">
        <x:v>Finance data</x:v>
      </x:c>
      <x:c r="G246" t="str">
        <x:v>Closed</x:v>
      </x:c>
      <x:c r="H246" t="n">
        <x:v>3</x:v>
      </x:c>
      <x:c r="I246" t="n">
        <x:v>9</x:v>
      </x:c>
      <x:c r="J246" t="n">
        <x:v>1</x:v>
      </x:c>
      <x:c r="K246" t="n">
        <x:v>0</x:v>
      </x:c>
      <x:c r="L246" t="n">
        <x:v>0</x:v>
      </x:c>
    </x:row>
    <x:row r="247">
      <x:c r="A247" t="str">
        <x:v>GOV-0243</x:v>
      </x:c>
      <x:c r="B247" s="1" t="d">
        <x:v>2026-06-26T00:00:00.000Z</x:v>
      </x:c>
      <x:c r="C247" s="1"/>
      <x:c r="D247" t="str">
        <x:v>Finance</x:v>
      </x:c>
      <x:c r="E247" t="str">
        <x:v>Low</x:v>
      </x:c>
      <x:c r="F247" t="str">
        <x:v>Finance data</x:v>
      </x:c>
      <x:c r="G247" t="str">
        <x:v>Open</x:v>
      </x:c>
      <x:c r="H247" t="n">
        <x:v>14</x:v>
      </x:c>
      <x:c r="I247" t="n">
        <x:v>4</x:v>
      </x:c>
      <x:c r="J247" t="n">
        <x:v>0</x:v>
      </x:c>
      <x:c r="K247" t="n">
        <x:v>0</x:v>
      </x:c>
      <x:c r="L247" t="n">
        <x:v>0</x:v>
      </x:c>
    </x:row>
    <x:row r="248">
      <x:c r="A248" t="str">
        <x:v>GOV-0244</x:v>
      </x:c>
      <x:c r="B248" s="1" t="d">
        <x:v>2026-01-24T00:00:00.000Z</x:v>
      </x:c>
      <x:c r="C248" s="1" t="d">
        <x:v>2026-02-06T00:00:00.000Z</x:v>
      </x:c>
      <x:c r="D248" t="str">
        <x:v>Finance</x:v>
      </x:c>
      <x:c r="E248" t="str">
        <x:v>Low</x:v>
      </x:c>
      <x:c r="F248" t="str">
        <x:v>Finance data</x:v>
      </x:c>
      <x:c r="G248" t="str">
        <x:v>Closed</x:v>
      </x:c>
      <x:c r="H248" t="n">
        <x:v>14</x:v>
      </x:c>
      <x:c r="I248" t="n">
        <x:v>13</x:v>
      </x:c>
      <x:c r="J248" t="n">
        <x:v>1</x:v>
      </x:c>
      <x:c r="K248" t="n">
        <x:v>1</x:v>
      </x:c>
      <x:c r="L248" t="n">
        <x:v>0</x:v>
      </x:c>
    </x:row>
    <x:row r="249">
      <x:c r="A249" t="str">
        <x:v>GOV-0245</x:v>
      </x:c>
      <x:c r="B249" s="1" t="d">
        <x:v>2026-04-23T00:00:00.000Z</x:v>
      </x:c>
      <x:c r="C249" s="1" t="d">
        <x:v>2026-05-09T00:00:00.000Z</x:v>
      </x:c>
      <x:c r="D249" t="str">
        <x:v>Product</x:v>
      </x:c>
      <x:c r="E249" t="str">
        <x:v>Low</x:v>
      </x:c>
      <x:c r="F249" t="str">
        <x:v>Product ops</x:v>
      </x:c>
      <x:c r="G249" t="str">
        <x:v>Closed</x:v>
      </x:c>
      <x:c r="H249" t="n">
        <x:v>14</x:v>
      </x:c>
      <x:c r="I249" t="n">
        <x:v>16</x:v>
      </x:c>
      <x:c r="J249" t="n">
        <x:v>1</x:v>
      </x:c>
      <x:c r="K249" t="n">
        <x:v>0</x:v>
      </x:c>
      <x:c r="L249" t="n">
        <x:v>0</x:v>
      </x:c>
    </x:row>
    <x:row r="250">
      <x:c r="A250" t="str">
        <x:v>GOV-0246</x:v>
      </x:c>
      <x:c r="B250" s="1" t="d">
        <x:v>2026-05-14T00:00:00.000Z</x:v>
      </x:c>
      <x:c r="C250" s="1" t="d">
        <x:v>2026-05-30T00:00:00.000Z</x:v>
      </x:c>
      <x:c r="D250" t="str">
        <x:v>Customer</x:v>
      </x:c>
      <x:c r="E250" t="str">
        <x:v>Medium</x:v>
      </x:c>
      <x:c r="F250" t="str">
        <x:v>CRM stewardship</x:v>
      </x:c>
      <x:c r="G250" t="str">
        <x:v>Closed</x:v>
      </x:c>
      <x:c r="H250" t="n">
        <x:v>7</x:v>
      </x:c>
      <x:c r="I250" t="n">
        <x:v>16</x:v>
      </x:c>
      <x:c r="J250" t="n">
        <x:v>1</x:v>
      </x:c>
      <x:c r="K250" t="n">
        <x:v>0</x:v>
      </x:c>
      <x:c r="L250" t="n">
        <x:v>0</x:v>
      </x:c>
    </x:row>
    <x:row r="251">
      <x:c r="A251" t="str">
        <x:v>GOV-0247</x:v>
      </x:c>
      <x:c r="B251" s="1" t="d">
        <x:v>2026-04-15T00:00:00.000Z</x:v>
      </x:c>
      <x:c r="C251" s="1" t="d">
        <x:v>2026-05-04T00:00:00.000Z</x:v>
      </x:c>
      <x:c r="D251" t="str">
        <x:v>Customer</x:v>
      </x:c>
      <x:c r="E251" t="str">
        <x:v>Low</x:v>
      </x:c>
      <x:c r="F251" t="str">
        <x:v>CRM stewardship</x:v>
      </x:c>
      <x:c r="G251" t="str">
        <x:v>Closed</x:v>
      </x:c>
      <x:c r="H251" t="n">
        <x:v>14</x:v>
      </x:c>
      <x:c r="I251" t="n">
        <x:v>19</x:v>
      </x:c>
      <x:c r="J251" t="n">
        <x:v>1</x:v>
      </x:c>
      <x:c r="K251" t="n">
        <x:v>0</x:v>
      </x:c>
      <x:c r="L251" t="n">
        <x:v>0</x:v>
      </x:c>
    </x:row>
    <x:row r="252">
      <x:c r="A252" t="str">
        <x:v>GOV-0248</x:v>
      </x:c>
      <x:c r="B252" s="1" t="d">
        <x:v>2026-03-10T00:00:00.000Z</x:v>
      </x:c>
      <x:c r="C252" s="1" t="d">
        <x:v>2026-03-21T00:00:00.000Z</x:v>
      </x:c>
      <x:c r="D252" t="str">
        <x:v>Supplier</x:v>
      </x:c>
      <x:c r="E252" t="str">
        <x:v>Low</x:v>
      </x:c>
      <x:c r="F252" t="str">
        <x:v>Procurement data</x:v>
      </x:c>
      <x:c r="G252" t="str">
        <x:v>Closed</x:v>
      </x:c>
      <x:c r="H252" t="n">
        <x:v>14</x:v>
      </x:c>
      <x:c r="I252" t="n">
        <x:v>11</x:v>
      </x:c>
      <x:c r="J252" t="n">
        <x:v>1</x:v>
      </x:c>
      <x:c r="K252" t="n">
        <x:v>1</x:v>
      </x:c>
      <x:c r="L252" t="n">
        <x:v>0</x:v>
      </x:c>
    </x:row>
    <x:row r="253">
      <x:c r="A253" t="str">
        <x:v>GOV-0249</x:v>
      </x:c>
      <x:c r="B253" s="1" t="d">
        <x:v>2026-05-15T00:00:00.000Z</x:v>
      </x:c>
      <x:c r="C253" s="1" t="d">
        <x:v>2026-05-21T00:00:00.000Z</x:v>
      </x:c>
      <x:c r="D253" t="str">
        <x:v>Product</x:v>
      </x:c>
      <x:c r="E253" t="str">
        <x:v>Medium</x:v>
      </x:c>
      <x:c r="F253" t="str">
        <x:v>Product ops</x:v>
      </x:c>
      <x:c r="G253" t="str">
        <x:v>Closed</x:v>
      </x:c>
      <x:c r="H253" t="n">
        <x:v>7</x:v>
      </x:c>
      <x:c r="I253" t="n">
        <x:v>6</x:v>
      </x:c>
      <x:c r="J253" t="n">
        <x:v>1</x:v>
      </x:c>
      <x:c r="K253" t="n">
        <x:v>1</x:v>
      </x:c>
      <x:c r="L253" t="n">
        <x:v>0</x:v>
      </x:c>
    </x:row>
    <x:row r="254">
      <x:c r="A254" t="str">
        <x:v>GOV-0250</x:v>
      </x:c>
      <x:c r="B254" s="1" t="d">
        <x:v>2026-03-29T00:00:00.000Z</x:v>
      </x:c>
      <x:c r="C254" s="1" t="d">
        <x:v>2026-04-02T00:00:00.000Z</x:v>
      </x:c>
      <x:c r="D254" t="str">
        <x:v>Product</x:v>
      </x:c>
      <x:c r="E254" t="str">
        <x:v>Low</x:v>
      </x:c>
      <x:c r="F254" t="str">
        <x:v>Product ops</x:v>
      </x:c>
      <x:c r="G254" t="str">
        <x:v>Closed</x:v>
      </x:c>
      <x:c r="H254" t="n">
        <x:v>14</x:v>
      </x:c>
      <x:c r="I254" t="n">
        <x:v>4</x:v>
      </x:c>
      <x:c r="J254" t="n">
        <x:v>1</x:v>
      </x:c>
      <x:c r="K254" t="n">
        <x:v>1</x:v>
      </x:c>
      <x:c r="L254" t="n">
        <x:v>0</x:v>
      </x:c>
    </x:row>
    <x:row r="255">
      <x:c r="A255" t="str">
        <x:v>GOV-0251</x:v>
      </x:c>
      <x:c r="B255" s="1" t="d">
        <x:v>2026-05-04T00:00:00.000Z</x:v>
      </x:c>
      <x:c r="C255" s="1" t="d">
        <x:v>2026-05-14T00:00:00.000Z</x:v>
      </x:c>
      <x:c r="D255" t="str">
        <x:v>Finance</x:v>
      </x:c>
      <x:c r="E255" t="str">
        <x:v>Medium</x:v>
      </x:c>
      <x:c r="F255" t="str">
        <x:v>Finance data</x:v>
      </x:c>
      <x:c r="G255" t="str">
        <x:v>Closed</x:v>
      </x:c>
      <x:c r="H255" t="n">
        <x:v>7</x:v>
      </x:c>
      <x:c r="I255" t="n">
        <x:v>10</x:v>
      </x:c>
      <x:c r="J255" t="n">
        <x:v>1</x:v>
      </x:c>
      <x:c r="K255" t="n">
        <x:v>0</x:v>
      </x:c>
      <x:c r="L255" t="n">
        <x:v>0</x:v>
      </x:c>
    </x:row>
    <x:row r="256">
      <x:c r="A256" t="str">
        <x:v>GOV-0252</x:v>
      </x:c>
      <x:c r="B256" s="1" t="d">
        <x:v>2026-03-30T00:00:00.000Z</x:v>
      </x:c>
      <x:c r="C256" s="1" t="d">
        <x:v>2026-04-17T00:00:00.000Z</x:v>
      </x:c>
      <x:c r="D256" t="str">
        <x:v>Supplier</x:v>
      </x:c>
      <x:c r="E256" t="str">
        <x:v>High</x:v>
      </x:c>
      <x:c r="F256" t="str">
        <x:v>Procurement data</x:v>
      </x:c>
      <x:c r="G256" t="str">
        <x:v>Closed</x:v>
      </x:c>
      <x:c r="H256" t="n">
        <x:v>3</x:v>
      </x:c>
      <x:c r="I256" t="n">
        <x:v>18</x:v>
      </x:c>
      <x:c r="J256" t="n">
        <x:v>1</x:v>
      </x:c>
      <x:c r="K256" t="n">
        <x:v>0</x:v>
      </x:c>
      <x:c r="L256" t="n">
        <x:v>0</x:v>
      </x:c>
    </x:row>
    <x:row r="257">
      <x:c r="A257" t="str">
        <x:v>GOV-0253</x:v>
      </x:c>
      <x:c r="B257" s="1" t="d">
        <x:v>2026-03-01T00:00:00.000Z</x:v>
      </x:c>
      <x:c r="C257" s="1" t="d">
        <x:v>2026-03-07T00:00:00.000Z</x:v>
      </x:c>
      <x:c r="D257" t="str">
        <x:v>Supplier</x:v>
      </x:c>
      <x:c r="E257" t="str">
        <x:v>Medium</x:v>
      </x:c>
      <x:c r="F257" t="str">
        <x:v>Procurement data</x:v>
      </x:c>
      <x:c r="G257" t="str">
        <x:v>Closed</x:v>
      </x:c>
      <x:c r="H257" t="n">
        <x:v>7</x:v>
      </x:c>
      <x:c r="I257" t="n">
        <x:v>6</x:v>
      </x:c>
      <x:c r="J257" t="n">
        <x:v>1</x:v>
      </x:c>
      <x:c r="K257" t="n">
        <x:v>1</x:v>
      </x:c>
      <x:c r="L257" t="n">
        <x:v>0</x:v>
      </x:c>
    </x:row>
    <x:row r="258">
      <x:c r="A258" t="str">
        <x:v>GOV-0254</x:v>
      </x:c>
      <x:c r="B258" s="1" t="d">
        <x:v>2026-05-03T00:00:00.000Z</x:v>
      </x:c>
      <x:c r="C258" s="1" t="d">
        <x:v>2026-05-11T00:00:00.000Z</x:v>
      </x:c>
      <x:c r="D258" t="str">
        <x:v>Product</x:v>
      </x:c>
      <x:c r="E258" t="str">
        <x:v>Medium</x:v>
      </x:c>
      <x:c r="F258" t="str">
        <x:v>Product ops</x:v>
      </x:c>
      <x:c r="G258" t="str">
        <x:v>Closed</x:v>
      </x:c>
      <x:c r="H258" t="n">
        <x:v>7</x:v>
      </x:c>
      <x:c r="I258" t="n">
        <x:v>8</x:v>
      </x:c>
      <x:c r="J258" t="n">
        <x:v>1</x:v>
      </x:c>
      <x:c r="K258" t="n">
        <x:v>0</x:v>
      </x:c>
      <x:c r="L258" t="n">
        <x:v>0</x:v>
      </x:c>
    </x:row>
    <x:row r="259">
      <x:c r="A259" t="str">
        <x:v>GOV-0255</x:v>
      </x:c>
      <x:c r="B259" s="1" t="d">
        <x:v>2026-06-25T00:00:00.000Z</x:v>
      </x:c>
      <x:c r="C259" s="1"/>
      <x:c r="D259" t="str">
        <x:v>Supplier</x:v>
      </x:c>
      <x:c r="E259" t="str">
        <x:v>Medium</x:v>
      </x:c>
      <x:c r="F259" t="str">
        <x:v>Procurement data</x:v>
      </x:c>
      <x:c r="G259" t="str">
        <x:v>Open</x:v>
      </x:c>
      <x:c r="H259" t="n">
        <x:v>7</x:v>
      </x:c>
      <x:c r="I259" t="n">
        <x:v>5</x:v>
      </x:c>
      <x:c r="J259" t="n">
        <x:v>0</x:v>
      </x:c>
      <x:c r="K259" t="n">
        <x:v>0</x:v>
      </x:c>
      <x:c r="L259" t="n">
        <x:v>0</x:v>
      </x:c>
    </x:row>
    <x:row r="260">
      <x:c r="A260" t="str">
        <x:v>GOV-0256</x:v>
      </x:c>
      <x:c r="B260" s="1" t="d">
        <x:v>2026-02-02T00:00:00.000Z</x:v>
      </x:c>
      <x:c r="C260" s="1" t="d">
        <x:v>2026-02-11T00:00:00.000Z</x:v>
      </x:c>
      <x:c r="D260" t="str">
        <x:v>Supplier</x:v>
      </x:c>
      <x:c r="E260" t="str">
        <x:v>Medium</x:v>
      </x:c>
      <x:c r="F260" t="str">
        <x:v>Procurement data</x:v>
      </x:c>
      <x:c r="G260" t="str">
        <x:v>Closed</x:v>
      </x:c>
      <x:c r="H260" t="n">
        <x:v>7</x:v>
      </x:c>
      <x:c r="I260" t="n">
        <x:v>9</x:v>
      </x:c>
      <x:c r="J260" t="n">
        <x:v>1</x:v>
      </x:c>
      <x:c r="K260" t="n">
        <x:v>0</x:v>
      </x:c>
      <x:c r="L260" t="n">
        <x:v>0</x:v>
      </x:c>
    </x:row>
    <x:row r="261">
      <x:c r="A261" t="str">
        <x:v>GOV-0257</x:v>
      </x:c>
      <x:c r="B261" s="1" t="d">
        <x:v>2026-01-21T00:00:00.000Z</x:v>
      </x:c>
      <x:c r="C261" s="1" t="d">
        <x:v>2026-01-24T00:00:00.000Z</x:v>
      </x:c>
      <x:c r="D261" t="str">
        <x:v>Finance</x:v>
      </x:c>
      <x:c r="E261" t="str">
        <x:v>High</x:v>
      </x:c>
      <x:c r="F261" t="str">
        <x:v>Finance data</x:v>
      </x:c>
      <x:c r="G261" t="str">
        <x:v>Closed</x:v>
      </x:c>
      <x:c r="H261" t="n">
        <x:v>3</x:v>
      </x:c>
      <x:c r="I261" t="n">
        <x:v>3</x:v>
      </x:c>
      <x:c r="J261" t="n">
        <x:v>1</x:v>
      </x:c>
      <x:c r="K261" t="n">
        <x:v>1</x:v>
      </x:c>
      <x:c r="L261" t="n">
        <x:v>0</x:v>
      </x:c>
    </x:row>
    <x:row r="262">
      <x:c r="A262" t="str">
        <x:v>GOV-0258</x:v>
      </x:c>
      <x:c r="B262" s="1" t="d">
        <x:v>2026-06-04T00:00:00.000Z</x:v>
      </x:c>
      <x:c r="C262" s="1"/>
      <x:c r="D262" t="str">
        <x:v>Finance</x:v>
      </x:c>
      <x:c r="E262" t="str">
        <x:v>Low</x:v>
      </x:c>
      <x:c r="F262" t="str">
        <x:v>Finance data</x:v>
      </x:c>
      <x:c r="G262" t="str">
        <x:v>Open</x:v>
      </x:c>
      <x:c r="H262" t="n">
        <x:v>14</x:v>
      </x:c>
      <x:c r="I262" t="n">
        <x:v>26</x:v>
      </x:c>
      <x:c r="J262" t="n">
        <x:v>0</x:v>
      </x:c>
      <x:c r="K262" t="n">
        <x:v>0</x:v>
      </x:c>
      <x:c r="L262" t="n">
        <x:v>1</x:v>
      </x:c>
    </x:row>
    <x:row r="263">
      <x:c r="A263" t="str">
        <x:v>GOV-0259</x:v>
      </x:c>
      <x:c r="B263" s="1" t="d">
        <x:v>2026-03-01T00:00:00.000Z</x:v>
      </x:c>
      <x:c r="C263" s="1"/>
      <x:c r="D263" t="str">
        <x:v>Supplier</x:v>
      </x:c>
      <x:c r="E263" t="str">
        <x:v>Medium</x:v>
      </x:c>
      <x:c r="F263" t="str">
        <x:v>Procurement data</x:v>
      </x:c>
      <x:c r="G263" t="str">
        <x:v>Open</x:v>
      </x:c>
      <x:c r="H263" t="n">
        <x:v>7</x:v>
      </x:c>
      <x:c r="I263" t="n">
        <x:v>121</x:v>
      </x:c>
      <x:c r="J263" t="n">
        <x:v>0</x:v>
      </x:c>
      <x:c r="K263" t="n">
        <x:v>0</x:v>
      </x:c>
      <x:c r="L263" t="n">
        <x:v>1</x:v>
      </x:c>
    </x:row>
    <x:row r="264">
      <x:c r="A264" t="str">
        <x:v>GOV-0260</x:v>
      </x:c>
      <x:c r="B264" s="1" t="d">
        <x:v>2026-02-21T00:00:00.000Z</x:v>
      </x:c>
      <x:c r="C264" s="1" t="d">
        <x:v>2026-02-27T00:00:00.000Z</x:v>
      </x:c>
      <x:c r="D264" t="str">
        <x:v>Supplier</x:v>
      </x:c>
      <x:c r="E264" t="str">
        <x:v>High</x:v>
      </x:c>
      <x:c r="F264" t="str">
        <x:v>Procurement data</x:v>
      </x:c>
      <x:c r="G264" t="str">
        <x:v>Closed</x:v>
      </x:c>
      <x:c r="H264" t="n">
        <x:v>3</x:v>
      </x:c>
      <x:c r="I264" t="n">
        <x:v>6</x:v>
      </x:c>
      <x:c r="J264" t="n">
        <x:v>1</x:v>
      </x:c>
      <x:c r="K264" t="n">
        <x:v>0</x:v>
      </x:c>
      <x:c r="L264" t="n">
        <x:v>0</x:v>
      </x:c>
    </x:row>
    <x:row r="265">
      <x:c r="A265" t="str">
        <x:v>GOV-0261</x:v>
      </x:c>
      <x:c r="B265" s="1" t="d">
        <x:v>2026-02-09T00:00:00.000Z</x:v>
      </x:c>
      <x:c r="C265" s="1" t="d">
        <x:v>2026-02-20T00:00:00.000Z</x:v>
      </x:c>
      <x:c r="D265" t="str">
        <x:v>Product</x:v>
      </x:c>
      <x:c r="E265" t="str">
        <x:v>High</x:v>
      </x:c>
      <x:c r="F265" t="str">
        <x:v>Product ops</x:v>
      </x:c>
      <x:c r="G265" t="str">
        <x:v>Closed</x:v>
      </x:c>
      <x:c r="H265" t="n">
        <x:v>3</x:v>
      </x:c>
      <x:c r="I265" t="n">
        <x:v>11</x:v>
      </x:c>
      <x:c r="J265" t="n">
        <x:v>1</x:v>
      </x:c>
      <x:c r="K265" t="n">
        <x:v>0</x:v>
      </x:c>
      <x:c r="L265" t="n">
        <x:v>0</x:v>
      </x:c>
    </x:row>
    <x:row r="266">
      <x:c r="A266" t="str">
        <x:v>GOV-0262</x:v>
      </x:c>
      <x:c r="B266" s="1" t="d">
        <x:v>2026-05-30T00:00:00.000Z</x:v>
      </x:c>
      <x:c r="C266" s="1"/>
      <x:c r="D266" t="str">
        <x:v>Finance</x:v>
      </x:c>
      <x:c r="E266" t="str">
        <x:v>Medium</x:v>
      </x:c>
      <x:c r="F266" t="str">
        <x:v>Finance data</x:v>
      </x:c>
      <x:c r="G266" t="str">
        <x:v>Open</x:v>
      </x:c>
      <x:c r="H266" t="n">
        <x:v>7</x:v>
      </x:c>
      <x:c r="I266" t="n">
        <x:v>31</x:v>
      </x:c>
      <x:c r="J266" t="n">
        <x:v>0</x:v>
      </x:c>
      <x:c r="K266" t="n">
        <x:v>0</x:v>
      </x:c>
      <x:c r="L266" t="n">
        <x:v>1</x:v>
      </x:c>
    </x:row>
    <x:row r="267">
      <x:c r="A267" t="str">
        <x:v>GOV-0263</x:v>
      </x:c>
      <x:c r="B267" s="1" t="d">
        <x:v>2026-01-07T00:00:00.000Z</x:v>
      </x:c>
      <x:c r="C267" s="1"/>
      <x:c r="D267" t="str">
        <x:v>Product</x:v>
      </x:c>
      <x:c r="E267" t="str">
        <x:v>Medium</x:v>
      </x:c>
      <x:c r="F267" t="str">
        <x:v>Product ops</x:v>
      </x:c>
      <x:c r="G267" t="str">
        <x:v>Open</x:v>
      </x:c>
      <x:c r="H267" t="n">
        <x:v>7</x:v>
      </x:c>
      <x:c r="I267" t="n">
        <x:v>174</x:v>
      </x:c>
      <x:c r="J267" t="n">
        <x:v>0</x:v>
      </x:c>
      <x:c r="K267" t="n">
        <x:v>0</x:v>
      </x:c>
      <x:c r="L267" t="n">
        <x:v>1</x:v>
      </x:c>
    </x:row>
    <x:row r="268">
      <x:c r="A268" t="str">
        <x:v>GOV-0264</x:v>
      </x:c>
      <x:c r="B268" s="1" t="d">
        <x:v>2026-02-21T00:00:00.000Z</x:v>
      </x:c>
      <x:c r="C268" s="1" t="d">
        <x:v>2026-02-24T00:00:00.000Z</x:v>
      </x:c>
      <x:c r="D268" t="str">
        <x:v>Product</x:v>
      </x:c>
      <x:c r="E268" t="str">
        <x:v>High</x:v>
      </x:c>
      <x:c r="F268" t="str">
        <x:v>Product ops</x:v>
      </x:c>
      <x:c r="G268" t="str">
        <x:v>Closed</x:v>
      </x:c>
      <x:c r="H268" t="n">
        <x:v>3</x:v>
      </x:c>
      <x:c r="I268" t="n">
        <x:v>3</x:v>
      </x:c>
      <x:c r="J268" t="n">
        <x:v>1</x:v>
      </x:c>
      <x:c r="K268" t="n">
        <x:v>1</x:v>
      </x:c>
      <x:c r="L268" t="n">
        <x:v>0</x:v>
      </x:c>
    </x:row>
    <x:row r="269">
      <x:c r="A269" t="str">
        <x:v>GOV-0265</x:v>
      </x:c>
      <x:c r="B269" s="1" t="d">
        <x:v>2026-01-08T00:00:00.000Z</x:v>
      </x:c>
      <x:c r="C269" s="1" t="d">
        <x:v>2026-01-13T00:00:00.000Z</x:v>
      </x:c>
      <x:c r="D269" t="str">
        <x:v>Customer</x:v>
      </x:c>
      <x:c r="E269" t="str">
        <x:v>Medium</x:v>
      </x:c>
      <x:c r="F269" t="str">
        <x:v>CRM stewardship</x:v>
      </x:c>
      <x:c r="G269" t="str">
        <x:v>Closed</x:v>
      </x:c>
      <x:c r="H269" t="n">
        <x:v>7</x:v>
      </x:c>
      <x:c r="I269" t="n">
        <x:v>5</x:v>
      </x:c>
      <x:c r="J269" t="n">
        <x:v>1</x:v>
      </x:c>
      <x:c r="K269" t="n">
        <x:v>1</x:v>
      </x:c>
      <x:c r="L269" t="n">
        <x:v>0</x:v>
      </x:c>
    </x:row>
    <x:row r="270">
      <x:c r="A270" t="str">
        <x:v>GOV-0266</x:v>
      </x:c>
      <x:c r="B270" s="1" t="d">
        <x:v>2026-05-24T00:00:00.000Z</x:v>
      </x:c>
      <x:c r="C270" s="1" t="d">
        <x:v>2026-06-01T00:00:00.000Z</x:v>
      </x:c>
      <x:c r="D270" t="str">
        <x:v>Finance</x:v>
      </x:c>
      <x:c r="E270" t="str">
        <x:v>Medium</x:v>
      </x:c>
      <x:c r="F270" t="str">
        <x:v>Finance data</x:v>
      </x:c>
      <x:c r="G270" t="str">
        <x:v>Closed</x:v>
      </x:c>
      <x:c r="H270" t="n">
        <x:v>7</x:v>
      </x:c>
      <x:c r="I270" t="n">
        <x:v>8</x:v>
      </x:c>
      <x:c r="J270" t="n">
        <x:v>1</x:v>
      </x:c>
      <x:c r="K270" t="n">
        <x:v>0</x:v>
      </x:c>
      <x:c r="L270" t="n">
        <x:v>0</x:v>
      </x:c>
    </x:row>
    <x:row r="271">
      <x:c r="A271" t="str">
        <x:v>GOV-0267</x:v>
      </x:c>
      <x:c r="B271" s="1" t="d">
        <x:v>2026-04-23T00:00:00.000Z</x:v>
      </x:c>
      <x:c r="C271" s="1" t="d">
        <x:v>2026-05-01T00:00:00.000Z</x:v>
      </x:c>
      <x:c r="D271" t="str">
        <x:v>Product</x:v>
      </x:c>
      <x:c r="E271" t="str">
        <x:v>High</x:v>
      </x:c>
      <x:c r="F271" t="str">
        <x:v>Product ops</x:v>
      </x:c>
      <x:c r="G271" t="str">
        <x:v>Closed</x:v>
      </x:c>
      <x:c r="H271" t="n">
        <x:v>3</x:v>
      </x:c>
      <x:c r="I271" t="n">
        <x:v>8</x:v>
      </x:c>
      <x:c r="J271" t="n">
        <x:v>1</x:v>
      </x:c>
      <x:c r="K271" t="n">
        <x:v>0</x:v>
      </x:c>
      <x:c r="L271" t="n">
        <x:v>0</x:v>
      </x:c>
    </x:row>
    <x:row r="272">
      <x:c r="A272" t="str">
        <x:v>GOV-0268</x:v>
      </x:c>
      <x:c r="B272" s="1" t="d">
        <x:v>2026-05-24T00:00:00.000Z</x:v>
      </x:c>
      <x:c r="C272" s="1" t="d">
        <x:v>2026-06-13T00:00:00.000Z</x:v>
      </x:c>
      <x:c r="D272" t="str">
        <x:v>Supplier</x:v>
      </x:c>
      <x:c r="E272" t="str">
        <x:v>Medium</x:v>
      </x:c>
      <x:c r="F272" t="str">
        <x:v>Procurement data</x:v>
      </x:c>
      <x:c r="G272" t="str">
        <x:v>Closed</x:v>
      </x:c>
      <x:c r="H272" t="n">
        <x:v>7</x:v>
      </x:c>
      <x:c r="I272" t="n">
        <x:v>20</x:v>
      </x:c>
      <x:c r="J272" t="n">
        <x:v>1</x:v>
      </x:c>
      <x:c r="K272" t="n">
        <x:v>0</x:v>
      </x:c>
      <x:c r="L272" t="n">
        <x:v>0</x:v>
      </x:c>
    </x:row>
    <x:row r="273">
      <x:c r="A273" t="str">
        <x:v>GOV-0269</x:v>
      </x:c>
      <x:c r="B273" s="1" t="d">
        <x:v>2026-05-26T00:00:00.000Z</x:v>
      </x:c>
      <x:c r="C273" s="1" t="d">
        <x:v>2026-06-09T00:00:00.000Z</x:v>
      </x:c>
      <x:c r="D273" t="str">
        <x:v>Supplier</x:v>
      </x:c>
      <x:c r="E273" t="str">
        <x:v>High</x:v>
      </x:c>
      <x:c r="F273" t="str">
        <x:v>Procurement data</x:v>
      </x:c>
      <x:c r="G273" t="str">
        <x:v>Closed</x:v>
      </x:c>
      <x:c r="H273" t="n">
        <x:v>3</x:v>
      </x:c>
      <x:c r="I273" t="n">
        <x:v>14</x:v>
      </x:c>
      <x:c r="J273" t="n">
        <x:v>1</x:v>
      </x:c>
      <x:c r="K273" t="n">
        <x:v>0</x:v>
      </x:c>
      <x:c r="L273" t="n">
        <x:v>0</x:v>
      </x:c>
    </x:row>
    <x:row r="274">
      <x:c r="A274" t="str">
        <x:v>GOV-0270</x:v>
      </x:c>
      <x:c r="B274" s="1" t="d">
        <x:v>2026-04-23T00:00:00.000Z</x:v>
      </x:c>
      <x:c r="C274" s="1" t="d">
        <x:v>2026-04-26T00:00:00.000Z</x:v>
      </x:c>
      <x:c r="D274" t="str">
        <x:v>Product</x:v>
      </x:c>
      <x:c r="E274" t="str">
        <x:v>Low</x:v>
      </x:c>
      <x:c r="F274" t="str">
        <x:v>Product ops</x:v>
      </x:c>
      <x:c r="G274" t="str">
        <x:v>Closed</x:v>
      </x:c>
      <x:c r="H274" t="n">
        <x:v>14</x:v>
      </x:c>
      <x:c r="I274" t="n">
        <x:v>3</x:v>
      </x:c>
      <x:c r="J274" t="n">
        <x:v>1</x:v>
      </x:c>
      <x:c r="K274" t="n">
        <x:v>1</x:v>
      </x:c>
      <x:c r="L274" t="n">
        <x:v>0</x:v>
      </x:c>
    </x:row>
    <x:row r="275">
      <x:c r="A275" t="str">
        <x:v>GOV-0271</x:v>
      </x:c>
      <x:c r="B275" s="1" t="d">
        <x:v>2026-06-16T00:00:00.000Z</x:v>
      </x:c>
      <x:c r="C275" s="1"/>
      <x:c r="D275" t="str">
        <x:v>Customer</x:v>
      </x:c>
      <x:c r="E275" t="str">
        <x:v>Low</x:v>
      </x:c>
      <x:c r="F275" t="str">
        <x:v>CRM stewardship</x:v>
      </x:c>
      <x:c r="G275" t="str">
        <x:v>Open</x:v>
      </x:c>
      <x:c r="H275" t="n">
        <x:v>14</x:v>
      </x:c>
      <x:c r="I275" t="n">
        <x:v>14</x:v>
      </x:c>
      <x:c r="J275" t="n">
        <x:v>0</x:v>
      </x:c>
      <x:c r="K275" t="n">
        <x:v>0</x:v>
      </x:c>
      <x:c r="L275" t="n">
        <x:v>0</x:v>
      </x:c>
    </x:row>
    <x:row r="276">
      <x:c r="A276" t="str">
        <x:v>GOV-0272</x:v>
      </x:c>
      <x:c r="B276" s="1" t="d">
        <x:v>2026-03-29T00:00:00.000Z</x:v>
      </x:c>
      <x:c r="C276" s="1" t="d">
        <x:v>2026-04-07T00:00:00.000Z</x:v>
      </x:c>
      <x:c r="D276" t="str">
        <x:v>Product</x:v>
      </x:c>
      <x:c r="E276" t="str">
        <x:v>Medium</x:v>
      </x:c>
      <x:c r="F276" t="str">
        <x:v>Product ops</x:v>
      </x:c>
      <x:c r="G276" t="str">
        <x:v>Closed</x:v>
      </x:c>
      <x:c r="H276" t="n">
        <x:v>7</x:v>
      </x:c>
      <x:c r="I276" t="n">
        <x:v>9</x:v>
      </x:c>
      <x:c r="J276" t="n">
        <x:v>1</x:v>
      </x:c>
      <x:c r="K276" t="n">
        <x:v>0</x:v>
      </x:c>
      <x:c r="L276" t="n">
        <x:v>0</x:v>
      </x:c>
    </x:row>
    <x:row r="277">
      <x:c r="A277" t="str">
        <x:v>GOV-0273</x:v>
      </x:c>
      <x:c r="B277" s="1" t="d">
        <x:v>2026-04-23T00:00:00.000Z</x:v>
      </x:c>
      <x:c r="C277" s="1" t="d">
        <x:v>2026-05-05T00:00:00.000Z</x:v>
      </x:c>
      <x:c r="D277" t="str">
        <x:v>Supplier</x:v>
      </x:c>
      <x:c r="E277" t="str">
        <x:v>High</x:v>
      </x:c>
      <x:c r="F277" t="str">
        <x:v>Procurement data</x:v>
      </x:c>
      <x:c r="G277" t="str">
        <x:v>Closed</x:v>
      </x:c>
      <x:c r="H277" t="n">
        <x:v>3</x:v>
      </x:c>
      <x:c r="I277" t="n">
        <x:v>12</x:v>
      </x:c>
      <x:c r="J277" t="n">
        <x:v>1</x:v>
      </x:c>
      <x:c r="K277" t="n">
        <x:v>0</x:v>
      </x:c>
      <x:c r="L277" t="n">
        <x:v>0</x:v>
      </x:c>
    </x:row>
    <x:row r="278">
      <x:c r="A278" t="str">
        <x:v>GOV-0274</x:v>
      </x:c>
      <x:c r="B278" s="1" t="d">
        <x:v>2026-06-29T00:00:00.000Z</x:v>
      </x:c>
      <x:c r="C278" s="1"/>
      <x:c r="D278" t="str">
        <x:v>Product</x:v>
      </x:c>
      <x:c r="E278" t="str">
        <x:v>Low</x:v>
      </x:c>
      <x:c r="F278" t="str">
        <x:v>Product ops</x:v>
      </x:c>
      <x:c r="G278" t="str">
        <x:v>Open</x:v>
      </x:c>
      <x:c r="H278" t="n">
        <x:v>14</x:v>
      </x:c>
      <x:c r="I278" t="n">
        <x:v>1</x:v>
      </x:c>
      <x:c r="J278" t="n">
        <x:v>0</x:v>
      </x:c>
      <x:c r="K278" t="n">
        <x:v>0</x:v>
      </x:c>
      <x:c r="L278" t="n">
        <x:v>0</x:v>
      </x:c>
    </x:row>
    <x:row r="279">
      <x:c r="A279" t="str">
        <x:v>GOV-0275</x:v>
      </x:c>
      <x:c r="B279" s="1" t="d">
        <x:v>2026-06-22T00:00:00.000Z</x:v>
      </x:c>
      <x:c r="C279" s="1" t="d">
        <x:v>2026-06-30T00:00:00.000Z</x:v>
      </x:c>
      <x:c r="D279" t="str">
        <x:v>Supplier</x:v>
      </x:c>
      <x:c r="E279" t="str">
        <x:v>Medium</x:v>
      </x:c>
      <x:c r="F279" t="str">
        <x:v>Procurement data</x:v>
      </x:c>
      <x:c r="G279" t="str">
        <x:v>Closed</x:v>
      </x:c>
      <x:c r="H279" t="n">
        <x:v>7</x:v>
      </x:c>
      <x:c r="I279" t="n">
        <x:v>8</x:v>
      </x:c>
      <x:c r="J279" t="n">
        <x:v>1</x:v>
      </x:c>
      <x:c r="K279" t="n">
        <x:v>0</x:v>
      </x:c>
      <x:c r="L279" t="n">
        <x:v>0</x:v>
      </x:c>
    </x:row>
    <x:row r="280">
      <x:c r="A280" t="str">
        <x:v>GOV-0276</x:v>
      </x:c>
      <x:c r="B280" s="1" t="d">
        <x:v>2026-02-27T00:00:00.000Z</x:v>
      </x:c>
      <x:c r="C280" s="1" t="d">
        <x:v>2026-03-03T00:00:00.000Z</x:v>
      </x:c>
      <x:c r="D280" t="str">
        <x:v>Customer</x:v>
      </x:c>
      <x:c r="E280" t="str">
        <x:v>Low</x:v>
      </x:c>
      <x:c r="F280" t="str">
        <x:v>CRM stewardship</x:v>
      </x:c>
      <x:c r="G280" t="str">
        <x:v>Closed</x:v>
      </x:c>
      <x:c r="H280" t="n">
        <x:v>14</x:v>
      </x:c>
      <x:c r="I280" t="n">
        <x:v>4</x:v>
      </x:c>
      <x:c r="J280" t="n">
        <x:v>1</x:v>
      </x:c>
      <x:c r="K280" t="n">
        <x:v>1</x:v>
      </x:c>
      <x:c r="L280" t="n">
        <x:v>0</x:v>
      </x:c>
    </x:row>
    <x:row r="281">
      <x:c r="A281" t="str">
        <x:v>GOV-0277</x:v>
      </x:c>
      <x:c r="B281" s="1" t="d">
        <x:v>2026-02-08T00:00:00.000Z</x:v>
      </x:c>
      <x:c r="C281" s="1" t="d">
        <x:v>2026-02-24T00:00:00.000Z</x:v>
      </x:c>
      <x:c r="D281" t="str">
        <x:v>Product</x:v>
      </x:c>
      <x:c r="E281" t="str">
        <x:v>High</x:v>
      </x:c>
      <x:c r="F281" t="str">
        <x:v>Product ops</x:v>
      </x:c>
      <x:c r="G281" t="str">
        <x:v>Closed</x:v>
      </x:c>
      <x:c r="H281" t="n">
        <x:v>3</x:v>
      </x:c>
      <x:c r="I281" t="n">
        <x:v>16</x:v>
      </x:c>
      <x:c r="J281" t="n">
        <x:v>1</x:v>
      </x:c>
      <x:c r="K281" t="n">
        <x:v>0</x:v>
      </x:c>
      <x:c r="L281" t="n">
        <x:v>0</x:v>
      </x:c>
    </x:row>
    <x:row r="282">
      <x:c r="A282" t="str">
        <x:v>GOV-0278</x:v>
      </x:c>
      <x:c r="B282" s="1" t="d">
        <x:v>2026-02-02T00:00:00.000Z</x:v>
      </x:c>
      <x:c r="C282" s="1" t="d">
        <x:v>2026-02-05T00:00:00.000Z</x:v>
      </x:c>
      <x:c r="D282" t="str">
        <x:v>Product</x:v>
      </x:c>
      <x:c r="E282" t="str">
        <x:v>Medium</x:v>
      </x:c>
      <x:c r="F282" t="str">
        <x:v>Product ops</x:v>
      </x:c>
      <x:c r="G282" t="str">
        <x:v>Closed</x:v>
      </x:c>
      <x:c r="H282" t="n">
        <x:v>7</x:v>
      </x:c>
      <x:c r="I282" t="n">
        <x:v>3</x:v>
      </x:c>
      <x:c r="J282" t="n">
        <x:v>1</x:v>
      </x:c>
      <x:c r="K282" t="n">
        <x:v>1</x:v>
      </x:c>
      <x:c r="L282" t="n">
        <x:v>0</x:v>
      </x:c>
    </x:row>
    <x:row r="283">
      <x:c r="A283" t="str">
        <x:v>GOV-0279</x:v>
      </x:c>
      <x:c r="B283" s="1" t="d">
        <x:v>2026-05-06T00:00:00.000Z</x:v>
      </x:c>
      <x:c r="C283" s="1" t="d">
        <x:v>2026-05-09T00:00:00.000Z</x:v>
      </x:c>
      <x:c r="D283" t="str">
        <x:v>Customer</x:v>
      </x:c>
      <x:c r="E283" t="str">
        <x:v>Low</x:v>
      </x:c>
      <x:c r="F283" t="str">
        <x:v>CRM stewardship</x:v>
      </x:c>
      <x:c r="G283" t="str">
        <x:v>Closed</x:v>
      </x:c>
      <x:c r="H283" t="n">
        <x:v>14</x:v>
      </x:c>
      <x:c r="I283" t="n">
        <x:v>3</x:v>
      </x:c>
      <x:c r="J283" t="n">
        <x:v>1</x:v>
      </x:c>
      <x:c r="K283" t="n">
        <x:v>1</x:v>
      </x:c>
      <x:c r="L283" t="n">
        <x:v>0</x:v>
      </x:c>
    </x:row>
    <x:row r="284">
      <x:c r="A284" t="str">
        <x:v>GOV-0280</x:v>
      </x:c>
      <x:c r="B284" s="1" t="d">
        <x:v>2026-02-07T00:00:00.000Z</x:v>
      </x:c>
      <x:c r="C284" s="1" t="d">
        <x:v>2026-02-18T00:00:00.000Z</x:v>
      </x:c>
      <x:c r="D284" t="str">
        <x:v>Finance</x:v>
      </x:c>
      <x:c r="E284" t="str">
        <x:v>High</x:v>
      </x:c>
      <x:c r="F284" t="str">
        <x:v>Finance data</x:v>
      </x:c>
      <x:c r="G284" t="str">
        <x:v>Closed</x:v>
      </x:c>
      <x:c r="H284" t="n">
        <x:v>3</x:v>
      </x:c>
      <x:c r="I284" t="n">
        <x:v>11</x:v>
      </x:c>
      <x:c r="J284" t="n">
        <x:v>1</x:v>
      </x:c>
      <x:c r="K284" t="n">
        <x:v>0</x:v>
      </x:c>
      <x:c r="L284" t="n">
        <x:v>0</x:v>
      </x:c>
    </x:row>
    <x:row r="285">
      <x:c r="A285" t="str">
        <x:v>GOV-0281</x:v>
      </x:c>
      <x:c r="B285" s="1" t="d">
        <x:v>2026-02-04T00:00:00.000Z</x:v>
      </x:c>
      <x:c r="C285" s="1" t="d">
        <x:v>2026-02-26T00:00:00.000Z</x:v>
      </x:c>
      <x:c r="D285" t="str">
        <x:v>Supplier</x:v>
      </x:c>
      <x:c r="E285" t="str">
        <x:v>Medium</x:v>
      </x:c>
      <x:c r="F285" t="str">
        <x:v>Procurement data</x:v>
      </x:c>
      <x:c r="G285" t="str">
        <x:v>Closed</x:v>
      </x:c>
      <x:c r="H285" t="n">
        <x:v>7</x:v>
      </x:c>
      <x:c r="I285" t="n">
        <x:v>22</x:v>
      </x:c>
      <x:c r="J285" t="n">
        <x:v>1</x:v>
      </x:c>
      <x:c r="K285" t="n">
        <x:v>0</x:v>
      </x:c>
      <x:c r="L285" t="n">
        <x:v>0</x:v>
      </x:c>
    </x:row>
    <x:row r="286">
      <x:c r="A286" t="str">
        <x:v>GOV-0282</x:v>
      </x:c>
      <x:c r="B286" s="1" t="d">
        <x:v>2026-03-25T00:00:00.000Z</x:v>
      </x:c>
      <x:c r="C286" s="1" t="d">
        <x:v>2026-03-27T00:00:00.000Z</x:v>
      </x:c>
      <x:c r="D286" t="str">
        <x:v>Product</x:v>
      </x:c>
      <x:c r="E286" t="str">
        <x:v>Medium</x:v>
      </x:c>
      <x:c r="F286" t="str">
        <x:v>Product ops</x:v>
      </x:c>
      <x:c r="G286" t="str">
        <x:v>Closed</x:v>
      </x:c>
      <x:c r="H286" t="n">
        <x:v>7</x:v>
      </x:c>
      <x:c r="I286" t="n">
        <x:v>2</x:v>
      </x:c>
      <x:c r="J286" t="n">
        <x:v>1</x:v>
      </x:c>
      <x:c r="K286" t="n">
        <x:v>1</x:v>
      </x:c>
      <x:c r="L286" t="n">
        <x:v>0</x:v>
      </x:c>
    </x:row>
    <x:row r="287">
      <x:c r="A287" t="str">
        <x:v>GOV-0283</x:v>
      </x:c>
      <x:c r="B287" s="1" t="d">
        <x:v>2026-01-28T00:00:00.000Z</x:v>
      </x:c>
      <x:c r="C287" s="1" t="d">
        <x:v>2026-01-30T00:00:00.000Z</x:v>
      </x:c>
      <x:c r="D287" t="str">
        <x:v>Finance</x:v>
      </x:c>
      <x:c r="E287" t="str">
        <x:v>High</x:v>
      </x:c>
      <x:c r="F287" t="str">
        <x:v>Finance data</x:v>
      </x:c>
      <x:c r="G287" t="str">
        <x:v>Closed</x:v>
      </x:c>
      <x:c r="H287" t="n">
        <x:v>3</x:v>
      </x:c>
      <x:c r="I287" t="n">
        <x:v>2</x:v>
      </x:c>
      <x:c r="J287" t="n">
        <x:v>1</x:v>
      </x:c>
      <x:c r="K287" t="n">
        <x:v>1</x:v>
      </x:c>
      <x:c r="L287" t="n">
        <x:v>0</x:v>
      </x:c>
    </x:row>
    <x:row r="288">
      <x:c r="A288" t="str">
        <x:v>GOV-0284</x:v>
      </x:c>
      <x:c r="B288" s="1" t="d">
        <x:v>2026-02-15T00:00:00.000Z</x:v>
      </x:c>
      <x:c r="C288" s="1" t="d">
        <x:v>2026-02-19T00:00:00.000Z</x:v>
      </x:c>
      <x:c r="D288" t="str">
        <x:v>Finance</x:v>
      </x:c>
      <x:c r="E288" t="str">
        <x:v>Medium</x:v>
      </x:c>
      <x:c r="F288" t="str">
        <x:v>Finance data</x:v>
      </x:c>
      <x:c r="G288" t="str">
        <x:v>Closed</x:v>
      </x:c>
      <x:c r="H288" t="n">
        <x:v>7</x:v>
      </x:c>
      <x:c r="I288" t="n">
        <x:v>4</x:v>
      </x:c>
      <x:c r="J288" t="n">
        <x:v>1</x:v>
      </x:c>
      <x:c r="K288" t="n">
        <x:v>1</x:v>
      </x:c>
      <x:c r="L288" t="n">
        <x:v>0</x:v>
      </x:c>
    </x:row>
    <x:row r="289">
      <x:c r="A289" t="str">
        <x:v>GOV-0285</x:v>
      </x:c>
      <x:c r="B289" s="1" t="d">
        <x:v>2026-05-25T00:00:00.000Z</x:v>
      </x:c>
      <x:c r="C289" s="1" t="d">
        <x:v>2026-06-02T00:00:00.000Z</x:v>
      </x:c>
      <x:c r="D289" t="str">
        <x:v>Supplier</x:v>
      </x:c>
      <x:c r="E289" t="str">
        <x:v>High</x:v>
      </x:c>
      <x:c r="F289" t="str">
        <x:v>Procurement data</x:v>
      </x:c>
      <x:c r="G289" t="str">
        <x:v>Closed</x:v>
      </x:c>
      <x:c r="H289" t="n">
        <x:v>3</x:v>
      </x:c>
      <x:c r="I289" t="n">
        <x:v>8</x:v>
      </x:c>
      <x:c r="J289" t="n">
        <x:v>1</x:v>
      </x:c>
      <x:c r="K289" t="n">
        <x:v>0</x:v>
      </x:c>
      <x:c r="L289" t="n">
        <x:v>0</x:v>
      </x:c>
    </x:row>
    <x:row r="290">
      <x:c r="A290" t="str">
        <x:v>GOV-0286</x:v>
      </x:c>
      <x:c r="B290" s="1" t="d">
        <x:v>2026-02-13T00:00:00.000Z</x:v>
      </x:c>
      <x:c r="C290" s="1" t="d">
        <x:v>2026-02-19T00:00:00.000Z</x:v>
      </x:c>
      <x:c r="D290" t="str">
        <x:v>Customer</x:v>
      </x:c>
      <x:c r="E290" t="str">
        <x:v>Medium</x:v>
      </x:c>
      <x:c r="F290" t="str">
        <x:v>CRM stewardship</x:v>
      </x:c>
      <x:c r="G290" t="str">
        <x:v>Closed</x:v>
      </x:c>
      <x:c r="H290" t="n">
        <x:v>7</x:v>
      </x:c>
      <x:c r="I290" t="n">
        <x:v>6</x:v>
      </x:c>
      <x:c r="J290" t="n">
        <x:v>1</x:v>
      </x:c>
      <x:c r="K290" t="n">
        <x:v>1</x:v>
      </x:c>
      <x:c r="L290" t="n">
        <x:v>0</x:v>
      </x:c>
    </x:row>
    <x:row r="291">
      <x:c r="A291" t="str">
        <x:v>GOV-0287</x:v>
      </x:c>
      <x:c r="B291" s="1" t="d">
        <x:v>2026-04-12T00:00:00.000Z</x:v>
      </x:c>
      <x:c r="C291" s="1" t="d">
        <x:v>2026-04-20T00:00:00.000Z</x:v>
      </x:c>
      <x:c r="D291" t="str">
        <x:v>Product</x:v>
      </x:c>
      <x:c r="E291" t="str">
        <x:v>Low</x:v>
      </x:c>
      <x:c r="F291" t="str">
        <x:v>Product ops</x:v>
      </x:c>
      <x:c r="G291" t="str">
        <x:v>Closed</x:v>
      </x:c>
      <x:c r="H291" t="n">
        <x:v>14</x:v>
      </x:c>
      <x:c r="I291" t="n">
        <x:v>8</x:v>
      </x:c>
      <x:c r="J291" t="n">
        <x:v>1</x:v>
      </x:c>
      <x:c r="K291" t="n">
        <x:v>1</x:v>
      </x:c>
      <x:c r="L291" t="n">
        <x:v>0</x:v>
      </x:c>
    </x:row>
    <x:row r="292">
      <x:c r="A292" t="str">
        <x:v>GOV-0288</x:v>
      </x:c>
      <x:c r="B292" s="1" t="d">
        <x:v>2026-03-15T00:00:00.000Z</x:v>
      </x:c>
      <x:c r="C292" s="1" t="d">
        <x:v>2026-03-23T00:00:00.000Z</x:v>
      </x:c>
      <x:c r="D292" t="str">
        <x:v>Product</x:v>
      </x:c>
      <x:c r="E292" t="str">
        <x:v>Low</x:v>
      </x:c>
      <x:c r="F292" t="str">
        <x:v>Product ops</x:v>
      </x:c>
      <x:c r="G292" t="str">
        <x:v>Closed</x:v>
      </x:c>
      <x:c r="H292" t="n">
        <x:v>14</x:v>
      </x:c>
      <x:c r="I292" t="n">
        <x:v>8</x:v>
      </x:c>
      <x:c r="J292" t="n">
        <x:v>1</x:v>
      </x:c>
      <x:c r="K292" t="n">
        <x:v>1</x:v>
      </x:c>
      <x:c r="L292" t="n">
        <x:v>0</x:v>
      </x:c>
    </x:row>
    <x:row r="293">
      <x:c r="A293" t="str">
        <x:v>GOV-0289</x:v>
      </x:c>
      <x:c r="B293" s="1" t="d">
        <x:v>2026-01-23T00:00:00.000Z</x:v>
      </x:c>
      <x:c r="C293" s="1" t="d">
        <x:v>2026-02-09T00:00:00.000Z</x:v>
      </x:c>
      <x:c r="D293" t="str">
        <x:v>Product</x:v>
      </x:c>
      <x:c r="E293" t="str">
        <x:v>Medium</x:v>
      </x:c>
      <x:c r="F293" t="str">
        <x:v>Product ops</x:v>
      </x:c>
      <x:c r="G293" t="str">
        <x:v>Closed</x:v>
      </x:c>
      <x:c r="H293" t="n">
        <x:v>7</x:v>
      </x:c>
      <x:c r="I293" t="n">
        <x:v>17</x:v>
      </x:c>
      <x:c r="J293" t="n">
        <x:v>1</x:v>
      </x:c>
      <x:c r="K293" t="n">
        <x:v>0</x:v>
      </x:c>
      <x:c r="L293" t="n">
        <x:v>0</x:v>
      </x:c>
    </x:row>
    <x:row r="294">
      <x:c r="A294" t="str">
        <x:v>GOV-0290</x:v>
      </x:c>
      <x:c r="B294" s="1" t="d">
        <x:v>2026-06-25T00:00:00.000Z</x:v>
      </x:c>
      <x:c r="C294" s="1"/>
      <x:c r="D294" t="str">
        <x:v>Customer</x:v>
      </x:c>
      <x:c r="E294" t="str">
        <x:v>Medium</x:v>
      </x:c>
      <x:c r="F294" t="str">
        <x:v>CRM stewardship</x:v>
      </x:c>
      <x:c r="G294" t="str">
        <x:v>Open</x:v>
      </x:c>
      <x:c r="H294" t="n">
        <x:v>7</x:v>
      </x:c>
      <x:c r="I294" t="n">
        <x:v>5</x:v>
      </x:c>
      <x:c r="J294" t="n">
        <x:v>0</x:v>
      </x:c>
      <x:c r="K294" t="n">
        <x:v>0</x:v>
      </x:c>
      <x:c r="L294" t="n">
        <x:v>0</x:v>
      </x:c>
    </x:row>
    <x:row r="295">
      <x:c r="A295" t="str">
        <x:v>GOV-0291</x:v>
      </x:c>
      <x:c r="B295" s="1" t="d">
        <x:v>2026-01-06T00:00:00.000Z</x:v>
      </x:c>
      <x:c r="C295" s="1" t="d">
        <x:v>2026-01-18T00:00:00.000Z</x:v>
      </x:c>
      <x:c r="D295" t="str">
        <x:v>Customer</x:v>
      </x:c>
      <x:c r="E295" t="str">
        <x:v>High</x:v>
      </x:c>
      <x:c r="F295" t="str">
        <x:v>CRM stewardship</x:v>
      </x:c>
      <x:c r="G295" t="str">
        <x:v>Closed</x:v>
      </x:c>
      <x:c r="H295" t="n">
        <x:v>3</x:v>
      </x:c>
      <x:c r="I295" t="n">
        <x:v>12</x:v>
      </x:c>
      <x:c r="J295" t="n">
        <x:v>1</x:v>
      </x:c>
      <x:c r="K295" t="n">
        <x:v>0</x:v>
      </x:c>
      <x:c r="L295" t="n">
        <x:v>0</x:v>
      </x:c>
    </x:row>
    <x:row r="296">
      <x:c r="A296" t="str">
        <x:v>GOV-0292</x:v>
      </x:c>
      <x:c r="B296" s="1" t="d">
        <x:v>2026-05-05T00:00:00.000Z</x:v>
      </x:c>
      <x:c r="C296" s="1" t="d">
        <x:v>2026-05-13T00:00:00.000Z</x:v>
      </x:c>
      <x:c r="D296" t="str">
        <x:v>Customer</x:v>
      </x:c>
      <x:c r="E296" t="str">
        <x:v>Low</x:v>
      </x:c>
      <x:c r="F296" t="str">
        <x:v>CRM stewardship</x:v>
      </x:c>
      <x:c r="G296" t="str">
        <x:v>Closed</x:v>
      </x:c>
      <x:c r="H296" t="n">
        <x:v>14</x:v>
      </x:c>
      <x:c r="I296" t="n">
        <x:v>8</x:v>
      </x:c>
      <x:c r="J296" t="n">
        <x:v>1</x:v>
      </x:c>
      <x:c r="K296" t="n">
        <x:v>1</x:v>
      </x:c>
      <x:c r="L296" t="n">
        <x:v>0</x:v>
      </x:c>
    </x:row>
    <x:row r="297">
      <x:c r="A297" t="str">
        <x:v>GOV-0293</x:v>
      </x:c>
      <x:c r="B297" s="1" t="d">
        <x:v>2026-02-23T00:00:00.000Z</x:v>
      </x:c>
      <x:c r="C297" s="1" t="d">
        <x:v>2026-03-15T00:00:00.000Z</x:v>
      </x:c>
      <x:c r="D297" t="str">
        <x:v>Product</x:v>
      </x:c>
      <x:c r="E297" t="str">
        <x:v>Medium</x:v>
      </x:c>
      <x:c r="F297" t="str">
        <x:v>Product ops</x:v>
      </x:c>
      <x:c r="G297" t="str">
        <x:v>Closed</x:v>
      </x:c>
      <x:c r="H297" t="n">
        <x:v>7</x:v>
      </x:c>
      <x:c r="I297" t="n">
        <x:v>20</x:v>
      </x:c>
      <x:c r="J297" t="n">
        <x:v>1</x:v>
      </x:c>
      <x:c r="K297" t="n">
        <x:v>0</x:v>
      </x:c>
      <x:c r="L297" t="n">
        <x:v>0</x:v>
      </x:c>
    </x:row>
    <x:row r="298">
      <x:c r="A298" t="str">
        <x:v>GOV-0294</x:v>
      </x:c>
      <x:c r="B298" s="1" t="d">
        <x:v>2026-06-05T00:00:00.000Z</x:v>
      </x:c>
      <x:c r="C298" s="1" t="d">
        <x:v>2026-06-09T00:00:00.000Z</x:v>
      </x:c>
      <x:c r="D298" t="str">
        <x:v>Product</x:v>
      </x:c>
      <x:c r="E298" t="str">
        <x:v>Medium</x:v>
      </x:c>
      <x:c r="F298" t="str">
        <x:v>Product ops</x:v>
      </x:c>
      <x:c r="G298" t="str">
        <x:v>Closed</x:v>
      </x:c>
      <x:c r="H298" t="n">
        <x:v>7</x:v>
      </x:c>
      <x:c r="I298" t="n">
        <x:v>4</x:v>
      </x:c>
      <x:c r="J298" t="n">
        <x:v>1</x:v>
      </x:c>
      <x:c r="K298" t="n">
        <x:v>1</x:v>
      </x:c>
      <x:c r="L298" t="n">
        <x:v>0</x:v>
      </x:c>
    </x:row>
    <x:row r="299">
      <x:c r="A299" t="str">
        <x:v>GOV-0295</x:v>
      </x:c>
      <x:c r="B299" s="1" t="d">
        <x:v>2026-02-21T00:00:00.000Z</x:v>
      </x:c>
      <x:c r="C299" s="1" t="d">
        <x:v>2026-03-05T00:00:00.000Z</x:v>
      </x:c>
      <x:c r="D299" t="str">
        <x:v>Finance</x:v>
      </x:c>
      <x:c r="E299" t="str">
        <x:v>Low</x:v>
      </x:c>
      <x:c r="F299" t="str">
        <x:v>Finance data</x:v>
      </x:c>
      <x:c r="G299" t="str">
        <x:v>Closed</x:v>
      </x:c>
      <x:c r="H299" t="n">
        <x:v>14</x:v>
      </x:c>
      <x:c r="I299" t="n">
        <x:v>12</x:v>
      </x:c>
      <x:c r="J299" t="n">
        <x:v>1</x:v>
      </x:c>
      <x:c r="K299" t="n">
        <x:v>1</x:v>
      </x:c>
      <x:c r="L299" t="n">
        <x:v>0</x:v>
      </x:c>
    </x:row>
    <x:row r="300">
      <x:c r="A300" t="str">
        <x:v>GOV-0296</x:v>
      </x:c>
      <x:c r="B300" s="1" t="d">
        <x:v>2026-05-06T00:00:00.000Z</x:v>
      </x:c>
      <x:c r="C300" s="1"/>
      <x:c r="D300" t="str">
        <x:v>Customer</x:v>
      </x:c>
      <x:c r="E300" t="str">
        <x:v>Medium</x:v>
      </x:c>
      <x:c r="F300" t="str">
        <x:v>CRM stewardship</x:v>
      </x:c>
      <x:c r="G300" t="str">
        <x:v>Open</x:v>
      </x:c>
      <x:c r="H300" t="n">
        <x:v>7</x:v>
      </x:c>
      <x:c r="I300" t="n">
        <x:v>55</x:v>
      </x:c>
      <x:c r="J300" t="n">
        <x:v>0</x:v>
      </x:c>
      <x:c r="K300" t="n">
        <x:v>0</x:v>
      </x:c>
      <x:c r="L300" t="n">
        <x:v>1</x:v>
      </x:c>
    </x:row>
    <x:row r="301">
      <x:c r="A301" t="str">
        <x:v>GOV-0297</x:v>
      </x:c>
      <x:c r="B301" s="1" t="d">
        <x:v>2026-05-11T00:00:00.000Z</x:v>
      </x:c>
      <x:c r="C301" s="1" t="d">
        <x:v>2026-05-27T00:00:00.000Z</x:v>
      </x:c>
      <x:c r="D301" t="str">
        <x:v>Supplier</x:v>
      </x:c>
      <x:c r="E301" t="str">
        <x:v>Medium</x:v>
      </x:c>
      <x:c r="F301" t="str">
        <x:v>Procurement data</x:v>
      </x:c>
      <x:c r="G301" t="str">
        <x:v>Closed</x:v>
      </x:c>
      <x:c r="H301" t="n">
        <x:v>7</x:v>
      </x:c>
      <x:c r="I301" t="n">
        <x:v>16</x:v>
      </x:c>
      <x:c r="J301" t="n">
        <x:v>1</x:v>
      </x:c>
      <x:c r="K301" t="n">
        <x:v>0</x:v>
      </x:c>
      <x:c r="L301" t="n">
        <x:v>0</x:v>
      </x:c>
    </x:row>
    <x:row r="302">
      <x:c r="A302" t="str">
        <x:v>GOV-0298</x:v>
      </x:c>
      <x:c r="B302" s="1" t="d">
        <x:v>2026-05-14T00:00:00.000Z</x:v>
      </x:c>
      <x:c r="C302" s="1" t="d">
        <x:v>2026-05-23T00:00:00.000Z</x:v>
      </x:c>
      <x:c r="D302" t="str">
        <x:v>Supplier</x:v>
      </x:c>
      <x:c r="E302" t="str">
        <x:v>Medium</x:v>
      </x:c>
      <x:c r="F302" t="str">
        <x:v>Procurement data</x:v>
      </x:c>
      <x:c r="G302" t="str">
        <x:v>Closed</x:v>
      </x:c>
      <x:c r="H302" t="n">
        <x:v>7</x:v>
      </x:c>
      <x:c r="I302" t="n">
        <x:v>9</x:v>
      </x:c>
      <x:c r="J302" t="n">
        <x:v>1</x:v>
      </x:c>
      <x:c r="K302" t="n">
        <x:v>0</x:v>
      </x:c>
      <x:c r="L302" t="n">
        <x:v>0</x:v>
      </x:c>
    </x:row>
    <x:row r="303">
      <x:c r="A303" t="str">
        <x:v>GOV-0299</x:v>
      </x:c>
      <x:c r="B303" s="1" t="d">
        <x:v>2026-01-23T00:00:00.000Z</x:v>
      </x:c>
      <x:c r="C303" s="1"/>
      <x:c r="D303" t="str">
        <x:v>Finance</x:v>
      </x:c>
      <x:c r="E303" t="str">
        <x:v>Medium</x:v>
      </x:c>
      <x:c r="F303" t="str">
        <x:v>Finance data</x:v>
      </x:c>
      <x:c r="G303" t="str">
        <x:v>Open</x:v>
      </x:c>
      <x:c r="H303" t="n">
        <x:v>7</x:v>
      </x:c>
      <x:c r="I303" t="n">
        <x:v>158</x:v>
      </x:c>
      <x:c r="J303" t="n">
        <x:v>0</x:v>
      </x:c>
      <x:c r="K303" t="n">
        <x:v>0</x:v>
      </x:c>
      <x:c r="L303" t="n">
        <x:v>1</x:v>
      </x:c>
    </x:row>
    <x:row r="304">
      <x:c r="A304" t="str">
        <x:v>GOV-0300</x:v>
      </x:c>
      <x:c r="B304" s="1" t="d">
        <x:v>2026-02-26T00:00:00.000Z</x:v>
      </x:c>
      <x:c r="C304" s="1" t="d">
        <x:v>2026-03-04T00:00:00.000Z</x:v>
      </x:c>
      <x:c r="D304" t="str">
        <x:v>Customer</x:v>
      </x:c>
      <x:c r="E304" t="str">
        <x:v>High</x:v>
      </x:c>
      <x:c r="F304" t="str">
        <x:v>CRM stewardship</x:v>
      </x:c>
      <x:c r="G304" t="str">
        <x:v>Closed</x:v>
      </x:c>
      <x:c r="H304" t="n">
        <x:v>3</x:v>
      </x:c>
      <x:c r="I304" t="n">
        <x:v>6</x:v>
      </x:c>
      <x:c r="J304" t="n">
        <x:v>1</x:v>
      </x:c>
      <x:c r="K304" t="n">
        <x:v>0</x:v>
      </x:c>
      <x:c r="L304" t="n">
        <x:v>0</x:v>
      </x:c>
    </x:row>
    <x:row r="305">
      <x:c r="A305" t="str">
        <x:v>GOV-0301</x:v>
      </x:c>
      <x:c r="B305" s="1" t="d">
        <x:v>2026-03-21T00:00:00.000Z</x:v>
      </x:c>
      <x:c r="C305" s="1" t="d">
        <x:v>2026-03-29T00:00:00.000Z</x:v>
      </x:c>
      <x:c r="D305" t="str">
        <x:v>Customer</x:v>
      </x:c>
      <x:c r="E305" t="str">
        <x:v>Medium</x:v>
      </x:c>
      <x:c r="F305" t="str">
        <x:v>CRM stewardship</x:v>
      </x:c>
      <x:c r="G305" t="str">
        <x:v>Closed</x:v>
      </x:c>
      <x:c r="H305" t="n">
        <x:v>7</x:v>
      </x:c>
      <x:c r="I305" t="n">
        <x:v>8</x:v>
      </x:c>
      <x:c r="J305" t="n">
        <x:v>1</x:v>
      </x:c>
      <x:c r="K305" t="n">
        <x:v>0</x:v>
      </x:c>
      <x:c r="L305" t="n">
        <x:v>0</x:v>
      </x:c>
    </x:row>
    <x:row r="306">
      <x:c r="A306" t="str">
        <x:v>GOV-0302</x:v>
      </x:c>
      <x:c r="B306" s="1" t="d">
        <x:v>2026-01-02T00:00:00.000Z</x:v>
      </x:c>
      <x:c r="C306" s="1" t="d">
        <x:v>2026-01-10T00:00:00.000Z</x:v>
      </x:c>
      <x:c r="D306" t="str">
        <x:v>Customer</x:v>
      </x:c>
      <x:c r="E306" t="str">
        <x:v>Medium</x:v>
      </x:c>
      <x:c r="F306" t="str">
        <x:v>CRM stewardship</x:v>
      </x:c>
      <x:c r="G306" t="str">
        <x:v>Closed</x:v>
      </x:c>
      <x:c r="H306" t="n">
        <x:v>7</x:v>
      </x:c>
      <x:c r="I306" t="n">
        <x:v>8</x:v>
      </x:c>
      <x:c r="J306" t="n">
        <x:v>1</x:v>
      </x:c>
      <x:c r="K306" t="n">
        <x:v>0</x:v>
      </x:c>
      <x:c r="L306" t="n">
        <x:v>0</x:v>
      </x:c>
    </x:row>
    <x:row r="307">
      <x:c r="A307" t="str">
        <x:v>GOV-0303</x:v>
      </x:c>
      <x:c r="B307" s="1" t="d">
        <x:v>2026-01-05T00:00:00.000Z</x:v>
      </x:c>
      <x:c r="C307" s="1" t="d">
        <x:v>2026-01-21T00:00:00.000Z</x:v>
      </x:c>
      <x:c r="D307" t="str">
        <x:v>Finance</x:v>
      </x:c>
      <x:c r="E307" t="str">
        <x:v>Medium</x:v>
      </x:c>
      <x:c r="F307" t="str">
        <x:v>Finance data</x:v>
      </x:c>
      <x:c r="G307" t="str">
        <x:v>Closed</x:v>
      </x:c>
      <x:c r="H307" t="n">
        <x:v>7</x:v>
      </x:c>
      <x:c r="I307" t="n">
        <x:v>16</x:v>
      </x:c>
      <x:c r="J307" t="n">
        <x:v>1</x:v>
      </x:c>
      <x:c r="K307" t="n">
        <x:v>0</x:v>
      </x:c>
      <x:c r="L307" t="n">
        <x:v>0</x:v>
      </x:c>
    </x:row>
    <x:row r="308">
      <x:c r="A308" t="str">
        <x:v>GOV-0304</x:v>
      </x:c>
      <x:c r="B308" s="1" t="d">
        <x:v>2026-01-31T00:00:00.000Z</x:v>
      </x:c>
      <x:c r="C308" s="1"/>
      <x:c r="D308" t="str">
        <x:v>Product</x:v>
      </x:c>
      <x:c r="E308" t="str">
        <x:v>High</x:v>
      </x:c>
      <x:c r="F308" t="str">
        <x:v>Product ops</x:v>
      </x:c>
      <x:c r="G308" t="str">
        <x:v>Open</x:v>
      </x:c>
      <x:c r="H308" t="n">
        <x:v>3</x:v>
      </x:c>
      <x:c r="I308" t="n">
        <x:v>150</x:v>
      </x:c>
      <x:c r="J308" t="n">
        <x:v>0</x:v>
      </x:c>
      <x:c r="K308" t="n">
        <x:v>0</x:v>
      </x:c>
      <x:c r="L308" t="n">
        <x:v>1</x:v>
      </x:c>
    </x:row>
    <x:row r="309">
      <x:c r="A309" t="str">
        <x:v>GOV-0305</x:v>
      </x:c>
      <x:c r="B309" s="1" t="d">
        <x:v>2026-03-18T00:00:00.000Z</x:v>
      </x:c>
      <x:c r="C309" s="1" t="d">
        <x:v>2026-03-25T00:00:00.000Z</x:v>
      </x:c>
      <x:c r="D309" t="str">
        <x:v>Finance</x:v>
      </x:c>
      <x:c r="E309" t="str">
        <x:v>Medium</x:v>
      </x:c>
      <x:c r="F309" t="str">
        <x:v>Finance data</x:v>
      </x:c>
      <x:c r="G309" t="str">
        <x:v>Closed</x:v>
      </x:c>
      <x:c r="H309" t="n">
        <x:v>7</x:v>
      </x:c>
      <x:c r="I309" t="n">
        <x:v>7</x:v>
      </x:c>
      <x:c r="J309" t="n">
        <x:v>1</x:v>
      </x:c>
      <x:c r="K309" t="n">
        <x:v>1</x:v>
      </x:c>
      <x:c r="L309" t="n">
        <x:v>0</x:v>
      </x:c>
    </x:row>
    <x:row r="310">
      <x:c r="A310" t="str">
        <x:v>GOV-0306</x:v>
      </x:c>
      <x:c r="B310" s="1" t="d">
        <x:v>2026-03-05T00:00:00.000Z</x:v>
      </x:c>
      <x:c r="C310" s="1" t="d">
        <x:v>2026-03-07T00:00:00.000Z</x:v>
      </x:c>
      <x:c r="D310" t="str">
        <x:v>Finance</x:v>
      </x:c>
      <x:c r="E310" t="str">
        <x:v>Medium</x:v>
      </x:c>
      <x:c r="F310" t="str">
        <x:v>Finance data</x:v>
      </x:c>
      <x:c r="G310" t="str">
        <x:v>Closed</x:v>
      </x:c>
      <x:c r="H310" t="n">
        <x:v>7</x:v>
      </x:c>
      <x:c r="I310" t="n">
        <x:v>2</x:v>
      </x:c>
      <x:c r="J310" t="n">
        <x:v>1</x:v>
      </x:c>
      <x:c r="K310" t="n">
        <x:v>1</x:v>
      </x:c>
      <x:c r="L310" t="n">
        <x:v>0</x:v>
      </x:c>
    </x:row>
    <x:row r="311">
      <x:c r="A311" t="str">
        <x:v>GOV-0307</x:v>
      </x:c>
      <x:c r="B311" s="1" t="d">
        <x:v>2026-04-27T00:00:00.000Z</x:v>
      </x:c>
      <x:c r="C311" s="1" t="d">
        <x:v>2026-05-16T00:00:00.000Z</x:v>
      </x:c>
      <x:c r="D311" t="str">
        <x:v>Product</x:v>
      </x:c>
      <x:c r="E311" t="str">
        <x:v>Low</x:v>
      </x:c>
      <x:c r="F311" t="str">
        <x:v>Product ops</x:v>
      </x:c>
      <x:c r="G311" t="str">
        <x:v>Closed</x:v>
      </x:c>
      <x:c r="H311" t="n">
        <x:v>14</x:v>
      </x:c>
      <x:c r="I311" t="n">
        <x:v>19</x:v>
      </x:c>
      <x:c r="J311" t="n">
        <x:v>1</x:v>
      </x:c>
      <x:c r="K311" t="n">
        <x:v>0</x:v>
      </x:c>
      <x:c r="L311" t="n">
        <x:v>0</x:v>
      </x:c>
    </x:row>
    <x:row r="312">
      <x:c r="A312" t="str">
        <x:v>GOV-0308</x:v>
      </x:c>
      <x:c r="B312" s="1" t="d">
        <x:v>2026-06-28T00:00:00.000Z</x:v>
      </x:c>
      <x:c r="C312" s="1"/>
      <x:c r="D312" t="str">
        <x:v>Finance</x:v>
      </x:c>
      <x:c r="E312" t="str">
        <x:v>Low</x:v>
      </x:c>
      <x:c r="F312" t="str">
        <x:v>Finance data</x:v>
      </x:c>
      <x:c r="G312" t="str">
        <x:v>Open</x:v>
      </x:c>
      <x:c r="H312" t="n">
        <x:v>14</x:v>
      </x:c>
      <x:c r="I312" t="n">
        <x:v>2</x:v>
      </x:c>
      <x:c r="J312" t="n">
        <x:v>0</x:v>
      </x:c>
      <x:c r="K312" t="n">
        <x:v>0</x:v>
      </x:c>
      <x:c r="L312" t="n">
        <x:v>0</x:v>
      </x:c>
    </x:row>
    <x:row r="313">
      <x:c r="A313" t="str">
        <x:v>GOV-0309</x:v>
      </x:c>
      <x:c r="B313" s="1" t="d">
        <x:v>2026-06-17T00:00:00.000Z</x:v>
      </x:c>
      <x:c r="C313" s="1"/>
      <x:c r="D313" t="str">
        <x:v>Finance</x:v>
      </x:c>
      <x:c r="E313" t="str">
        <x:v>Low</x:v>
      </x:c>
      <x:c r="F313" t="str">
        <x:v>Finance data</x:v>
      </x:c>
      <x:c r="G313" t="str">
        <x:v>Open</x:v>
      </x:c>
      <x:c r="H313" t="n">
        <x:v>14</x:v>
      </x:c>
      <x:c r="I313" t="n">
        <x:v>13</x:v>
      </x:c>
      <x:c r="J313" t="n">
        <x:v>0</x:v>
      </x:c>
      <x:c r="K313" t="n">
        <x:v>0</x:v>
      </x:c>
      <x:c r="L313" t="n">
        <x:v>0</x:v>
      </x:c>
    </x:row>
    <x:row r="314">
      <x:c r="A314" t="str">
        <x:v>GOV-0310</x:v>
      </x:c>
      <x:c r="B314" s="1" t="d">
        <x:v>2026-01-11T00:00:00.000Z</x:v>
      </x:c>
      <x:c r="C314" s="1" t="d">
        <x:v>2026-01-26T00:00:00.000Z</x:v>
      </x:c>
      <x:c r="D314" t="str">
        <x:v>Supplier</x:v>
      </x:c>
      <x:c r="E314" t="str">
        <x:v>Low</x:v>
      </x:c>
      <x:c r="F314" t="str">
        <x:v>Procurement data</x:v>
      </x:c>
      <x:c r="G314" t="str">
        <x:v>Closed</x:v>
      </x:c>
      <x:c r="H314" t="n">
        <x:v>14</x:v>
      </x:c>
      <x:c r="I314" t="n">
        <x:v>15</x:v>
      </x:c>
      <x:c r="J314" t="n">
        <x:v>1</x:v>
      </x:c>
      <x:c r="K314" t="n">
        <x:v>0</x:v>
      </x:c>
      <x:c r="L314" t="n">
        <x:v>0</x:v>
      </x:c>
    </x:row>
    <x:row r="315">
      <x:c r="A315" t="str">
        <x:v>GOV-0311</x:v>
      </x:c>
      <x:c r="B315" s="1" t="d">
        <x:v>2026-04-11T00:00:00.000Z</x:v>
      </x:c>
      <x:c r="C315" s="1"/>
      <x:c r="D315" t="str">
        <x:v>Customer</x:v>
      </x:c>
      <x:c r="E315" t="str">
        <x:v>Medium</x:v>
      </x:c>
      <x:c r="F315" t="str">
        <x:v>CRM stewardship</x:v>
      </x:c>
      <x:c r="G315" t="str">
        <x:v>Open</x:v>
      </x:c>
      <x:c r="H315" t="n">
        <x:v>7</x:v>
      </x:c>
      <x:c r="I315" t="n">
        <x:v>80</x:v>
      </x:c>
      <x:c r="J315" t="n">
        <x:v>0</x:v>
      </x:c>
      <x:c r="K315" t="n">
        <x:v>0</x:v>
      </x:c>
      <x:c r="L315" t="n">
        <x:v>1</x:v>
      </x:c>
    </x:row>
    <x:row r="316">
      <x:c r="A316" t="str">
        <x:v>GOV-0312</x:v>
      </x:c>
      <x:c r="B316" s="1" t="d">
        <x:v>2026-05-13T00:00:00.000Z</x:v>
      </x:c>
      <x:c r="C316" s="1" t="d">
        <x:v>2026-06-05T00:00:00.000Z</x:v>
      </x:c>
      <x:c r="D316" t="str">
        <x:v>Supplier</x:v>
      </x:c>
      <x:c r="E316" t="str">
        <x:v>High</x:v>
      </x:c>
      <x:c r="F316" t="str">
        <x:v>Procurement data</x:v>
      </x:c>
      <x:c r="G316" t="str">
        <x:v>Closed</x:v>
      </x:c>
      <x:c r="H316" t="n">
        <x:v>3</x:v>
      </x:c>
      <x:c r="I316" t="n">
        <x:v>23</x:v>
      </x:c>
      <x:c r="J316" t="n">
        <x:v>1</x:v>
      </x:c>
      <x:c r="K316" t="n">
        <x:v>0</x:v>
      </x:c>
      <x:c r="L316" t="n">
        <x:v>0</x:v>
      </x:c>
    </x:row>
    <x:row r="317">
      <x:c r="A317" t="str">
        <x:v>GOV-0313</x:v>
      </x:c>
      <x:c r="B317" s="1" t="d">
        <x:v>2026-05-30T00:00:00.000Z</x:v>
      </x:c>
      <x:c r="C317" s="1" t="d">
        <x:v>2026-06-07T00:00:00.000Z</x:v>
      </x:c>
      <x:c r="D317" t="str">
        <x:v>Customer</x:v>
      </x:c>
      <x:c r="E317" t="str">
        <x:v>Medium</x:v>
      </x:c>
      <x:c r="F317" t="str">
        <x:v>CRM stewardship</x:v>
      </x:c>
      <x:c r="G317" t="str">
        <x:v>Closed</x:v>
      </x:c>
      <x:c r="H317" t="n">
        <x:v>7</x:v>
      </x:c>
      <x:c r="I317" t="n">
        <x:v>8</x:v>
      </x:c>
      <x:c r="J317" t="n">
        <x:v>1</x:v>
      </x:c>
      <x:c r="K317" t="n">
        <x:v>0</x:v>
      </x:c>
      <x:c r="L317" t="n">
        <x:v>0</x:v>
      </x:c>
    </x:row>
    <x:row r="318">
      <x:c r="A318" t="str">
        <x:v>GOV-0314</x:v>
      </x:c>
      <x:c r="B318" s="1" t="d">
        <x:v>2026-06-01T00:00:00.000Z</x:v>
      </x:c>
      <x:c r="C318" s="1" t="d">
        <x:v>2026-06-14T00:00:00.000Z</x:v>
      </x:c>
      <x:c r="D318" t="str">
        <x:v>Supplier</x:v>
      </x:c>
      <x:c r="E318" t="str">
        <x:v>Medium</x:v>
      </x:c>
      <x:c r="F318" t="str">
        <x:v>Procurement data</x:v>
      </x:c>
      <x:c r="G318" t="str">
        <x:v>Closed</x:v>
      </x:c>
      <x:c r="H318" t="n">
        <x:v>7</x:v>
      </x:c>
      <x:c r="I318" t="n">
        <x:v>13</x:v>
      </x:c>
      <x:c r="J318" t="n">
        <x:v>1</x:v>
      </x:c>
      <x:c r="K318" t="n">
        <x:v>0</x:v>
      </x:c>
      <x:c r="L318" t="n">
        <x:v>0</x:v>
      </x:c>
    </x:row>
    <x:row r="319">
      <x:c r="A319" t="str">
        <x:v>GOV-0315</x:v>
      </x:c>
      <x:c r="B319" s="1" t="d">
        <x:v>2026-06-29T00:00:00.000Z</x:v>
      </x:c>
      <x:c r="C319" s="1"/>
      <x:c r="D319" t="str">
        <x:v>Customer</x:v>
      </x:c>
      <x:c r="E319" t="str">
        <x:v>Medium</x:v>
      </x:c>
      <x:c r="F319" t="str">
        <x:v>CRM stewardship</x:v>
      </x:c>
      <x:c r="G319" t="str">
        <x:v>Open</x:v>
      </x:c>
      <x:c r="H319" t="n">
        <x:v>7</x:v>
      </x:c>
      <x:c r="I319" t="n">
        <x:v>1</x:v>
      </x:c>
      <x:c r="J319" t="n">
        <x:v>0</x:v>
      </x:c>
      <x:c r="K319" t="n">
        <x:v>0</x:v>
      </x:c>
      <x:c r="L319" t="n">
        <x:v>0</x:v>
      </x:c>
    </x:row>
    <x:row r="320">
      <x:c r="A320" t="str">
        <x:v>GOV-0316</x:v>
      </x:c>
      <x:c r="B320" s="1" t="d">
        <x:v>2026-03-22T00:00:00.000Z</x:v>
      </x:c>
      <x:c r="C320" s="1"/>
      <x:c r="D320" t="str">
        <x:v>Customer</x:v>
      </x:c>
      <x:c r="E320" t="str">
        <x:v>Low</x:v>
      </x:c>
      <x:c r="F320" t="str">
        <x:v>CRM stewardship</x:v>
      </x:c>
      <x:c r="G320" t="str">
        <x:v>Open</x:v>
      </x:c>
      <x:c r="H320" t="n">
        <x:v>14</x:v>
      </x:c>
      <x:c r="I320" t="n">
        <x:v>100</x:v>
      </x:c>
      <x:c r="J320" t="n">
        <x:v>0</x:v>
      </x:c>
      <x:c r="K320" t="n">
        <x:v>0</x:v>
      </x:c>
      <x:c r="L320" t="n">
        <x:v>1</x:v>
      </x:c>
    </x:row>
    <x:row r="321">
      <x:c r="A321" t="str">
        <x:v>GOV-0317</x:v>
      </x:c>
      <x:c r="B321" s="1" t="d">
        <x:v>2026-02-07T00:00:00.000Z</x:v>
      </x:c>
      <x:c r="C321" s="1" t="d">
        <x:v>2026-02-28T00:00:00.000Z</x:v>
      </x:c>
      <x:c r="D321" t="str">
        <x:v>Supplier</x:v>
      </x:c>
      <x:c r="E321" t="str">
        <x:v>Low</x:v>
      </x:c>
      <x:c r="F321" t="str">
        <x:v>Procurement data</x:v>
      </x:c>
      <x:c r="G321" t="str">
        <x:v>Closed</x:v>
      </x:c>
      <x:c r="H321" t="n">
        <x:v>14</x:v>
      </x:c>
      <x:c r="I321" t="n">
        <x:v>21</x:v>
      </x:c>
      <x:c r="J321" t="n">
        <x:v>1</x:v>
      </x:c>
      <x:c r="K321" t="n">
        <x:v>0</x:v>
      </x:c>
      <x:c r="L321" t="n">
        <x:v>0</x:v>
      </x:c>
    </x:row>
    <x:row r="322">
      <x:c r="A322" t="str">
        <x:v>GOV-0318</x:v>
      </x:c>
      <x:c r="B322" s="1" t="d">
        <x:v>2026-05-11T00:00:00.000Z</x:v>
      </x:c>
      <x:c r="C322" s="1" t="d">
        <x:v>2026-05-29T00:00:00.000Z</x:v>
      </x:c>
      <x:c r="D322" t="str">
        <x:v>Product</x:v>
      </x:c>
      <x:c r="E322" t="str">
        <x:v>Low</x:v>
      </x:c>
      <x:c r="F322" t="str">
        <x:v>Product ops</x:v>
      </x:c>
      <x:c r="G322" t="str">
        <x:v>Closed</x:v>
      </x:c>
      <x:c r="H322" t="n">
        <x:v>14</x:v>
      </x:c>
      <x:c r="I322" t="n">
        <x:v>18</x:v>
      </x:c>
      <x:c r="J322" t="n">
        <x:v>1</x:v>
      </x:c>
      <x:c r="K322" t="n">
        <x:v>0</x:v>
      </x:c>
      <x:c r="L322" t="n">
        <x:v>0</x:v>
      </x:c>
    </x:row>
    <x:row r="323">
      <x:c r="A323" t="str">
        <x:v>GOV-0319</x:v>
      </x:c>
      <x:c r="B323" s="1" t="d">
        <x:v>2026-02-11T00:00:00.000Z</x:v>
      </x:c>
      <x:c r="C323" s="1" t="d">
        <x:v>2026-02-19T00:00:00.000Z</x:v>
      </x:c>
      <x:c r="D323" t="str">
        <x:v>Product</x:v>
      </x:c>
      <x:c r="E323" t="str">
        <x:v>Low</x:v>
      </x:c>
      <x:c r="F323" t="str">
        <x:v>Product ops</x:v>
      </x:c>
      <x:c r="G323" t="str">
        <x:v>Closed</x:v>
      </x:c>
      <x:c r="H323" t="n">
        <x:v>14</x:v>
      </x:c>
      <x:c r="I323" t="n">
        <x:v>8</x:v>
      </x:c>
      <x:c r="J323" t="n">
        <x:v>1</x:v>
      </x:c>
      <x:c r="K323" t="n">
        <x:v>1</x:v>
      </x:c>
      <x:c r="L323" t="n">
        <x:v>0</x:v>
      </x:c>
    </x:row>
    <x:row r="324">
      <x:c r="A324" t="str">
        <x:v>GOV-0320</x:v>
      </x:c>
      <x:c r="B324" s="1" t="d">
        <x:v>2026-05-14T00:00:00.000Z</x:v>
      </x:c>
      <x:c r="C324" s="1" t="d">
        <x:v>2026-06-03T00:00:00.000Z</x:v>
      </x:c>
      <x:c r="D324" t="str">
        <x:v>Finance</x:v>
      </x:c>
      <x:c r="E324" t="str">
        <x:v>Low</x:v>
      </x:c>
      <x:c r="F324" t="str">
        <x:v>Finance data</x:v>
      </x:c>
      <x:c r="G324" t="str">
        <x:v>Closed</x:v>
      </x:c>
      <x:c r="H324" t="n">
        <x:v>14</x:v>
      </x:c>
      <x:c r="I324" t="n">
        <x:v>20</x:v>
      </x:c>
      <x:c r="J324" t="n">
        <x:v>1</x:v>
      </x:c>
      <x:c r="K324" t="n">
        <x:v>0</x:v>
      </x:c>
      <x:c r="L324" t="n">
        <x:v>0</x:v>
      </x:c>
    </x:row>
    <x:row r="325">
      <x:c r="A325" t="str">
        <x:v>GOV-0321</x:v>
      </x:c>
      <x:c r="B325" s="1" t="d">
        <x:v>2026-01-19T00:00:00.000Z</x:v>
      </x:c>
      <x:c r="C325" s="1" t="d">
        <x:v>2026-02-01T00:00:00.000Z</x:v>
      </x:c>
      <x:c r="D325" t="str">
        <x:v>Customer</x:v>
      </x:c>
      <x:c r="E325" t="str">
        <x:v>Medium</x:v>
      </x:c>
      <x:c r="F325" t="str">
        <x:v>CRM stewardship</x:v>
      </x:c>
      <x:c r="G325" t="str">
        <x:v>Closed</x:v>
      </x:c>
      <x:c r="H325" t="n">
        <x:v>7</x:v>
      </x:c>
      <x:c r="I325" t="n">
        <x:v>13</x:v>
      </x:c>
      <x:c r="J325" t="n">
        <x:v>1</x:v>
      </x:c>
      <x:c r="K325" t="n">
        <x:v>0</x:v>
      </x:c>
      <x:c r="L325" t="n">
        <x:v>0</x:v>
      </x:c>
    </x:row>
    <x:row r="326">
      <x:c r="A326" t="str">
        <x:v>GOV-0322</x:v>
      </x:c>
      <x:c r="B326" s="1" t="d">
        <x:v>2026-01-18T00:00:00.000Z</x:v>
      </x:c>
      <x:c r="C326" s="1" t="d">
        <x:v>2026-02-04T00:00:00.000Z</x:v>
      </x:c>
      <x:c r="D326" t="str">
        <x:v>Customer</x:v>
      </x:c>
      <x:c r="E326" t="str">
        <x:v>Medium</x:v>
      </x:c>
      <x:c r="F326" t="str">
        <x:v>CRM stewardship</x:v>
      </x:c>
      <x:c r="G326" t="str">
        <x:v>Closed</x:v>
      </x:c>
      <x:c r="H326" t="n">
        <x:v>7</x:v>
      </x:c>
      <x:c r="I326" t="n">
        <x:v>17</x:v>
      </x:c>
      <x:c r="J326" t="n">
        <x:v>1</x:v>
      </x:c>
      <x:c r="K326" t="n">
        <x:v>0</x:v>
      </x:c>
      <x:c r="L326" t="n">
        <x:v>0</x:v>
      </x:c>
    </x:row>
    <x:row r="327">
      <x:c r="A327" t="str">
        <x:v>GOV-0323</x:v>
      </x:c>
      <x:c r="B327" s="1" t="d">
        <x:v>2026-02-13T00:00:00.000Z</x:v>
      </x:c>
      <x:c r="C327" s="1" t="d">
        <x:v>2026-03-07T00:00:00.000Z</x:v>
      </x:c>
      <x:c r="D327" t="str">
        <x:v>Supplier</x:v>
      </x:c>
      <x:c r="E327" t="str">
        <x:v>Low</x:v>
      </x:c>
      <x:c r="F327" t="str">
        <x:v>Procurement data</x:v>
      </x:c>
      <x:c r="G327" t="str">
        <x:v>Closed</x:v>
      </x:c>
      <x:c r="H327" t="n">
        <x:v>14</x:v>
      </x:c>
      <x:c r="I327" t="n">
        <x:v>22</x:v>
      </x:c>
      <x:c r="J327" t="n">
        <x:v>1</x:v>
      </x:c>
      <x:c r="K327" t="n">
        <x:v>0</x:v>
      </x:c>
      <x:c r="L327" t="n">
        <x:v>0</x:v>
      </x:c>
    </x:row>
    <x:row r="328">
      <x:c r="A328" t="str">
        <x:v>GOV-0324</x:v>
      </x:c>
      <x:c r="B328" s="1" t="d">
        <x:v>2026-04-19T00:00:00.000Z</x:v>
      </x:c>
      <x:c r="C328" s="1" t="d">
        <x:v>2026-04-27T00:00:00.000Z</x:v>
      </x:c>
      <x:c r="D328" t="str">
        <x:v>Customer</x:v>
      </x:c>
      <x:c r="E328" t="str">
        <x:v>High</x:v>
      </x:c>
      <x:c r="F328" t="str">
        <x:v>CRM stewardship</x:v>
      </x:c>
      <x:c r="G328" t="str">
        <x:v>Closed</x:v>
      </x:c>
      <x:c r="H328" t="n">
        <x:v>3</x:v>
      </x:c>
      <x:c r="I328" t="n">
        <x:v>8</x:v>
      </x:c>
      <x:c r="J328" t="n">
        <x:v>1</x:v>
      </x:c>
      <x:c r="K328" t="n">
        <x:v>0</x:v>
      </x:c>
      <x:c r="L328" t="n">
        <x:v>0</x:v>
      </x:c>
    </x:row>
    <x:row r="329">
      <x:c r="A329" t="str">
        <x:v>GOV-0325</x:v>
      </x:c>
      <x:c r="B329" s="1" t="d">
        <x:v>2026-03-24T00:00:00.000Z</x:v>
      </x:c>
      <x:c r="C329" s="1" t="d">
        <x:v>2026-04-04T00:00:00.000Z</x:v>
      </x:c>
      <x:c r="D329" t="str">
        <x:v>Finance</x:v>
      </x:c>
      <x:c r="E329" t="str">
        <x:v>Low</x:v>
      </x:c>
      <x:c r="F329" t="str">
        <x:v>Finance data</x:v>
      </x:c>
      <x:c r="G329" t="str">
        <x:v>Closed</x:v>
      </x:c>
      <x:c r="H329" t="n">
        <x:v>14</x:v>
      </x:c>
      <x:c r="I329" t="n">
        <x:v>11</x:v>
      </x:c>
      <x:c r="J329" t="n">
        <x:v>1</x:v>
      </x:c>
      <x:c r="K329" t="n">
        <x:v>1</x:v>
      </x:c>
      <x:c r="L329" t="n">
        <x:v>0</x:v>
      </x:c>
    </x:row>
    <x:row r="330">
      <x:c r="A330" t="str">
        <x:v>GOV-0326</x:v>
      </x:c>
      <x:c r="B330" s="1" t="d">
        <x:v>2026-06-05T00:00:00.000Z</x:v>
      </x:c>
      <x:c r="C330" s="1"/>
      <x:c r="D330" t="str">
        <x:v>Product</x:v>
      </x:c>
      <x:c r="E330" t="str">
        <x:v>Low</x:v>
      </x:c>
      <x:c r="F330" t="str">
        <x:v>Product ops</x:v>
      </x:c>
      <x:c r="G330" t="str">
        <x:v>Open</x:v>
      </x:c>
      <x:c r="H330" t="n">
        <x:v>14</x:v>
      </x:c>
      <x:c r="I330" t="n">
        <x:v>25</x:v>
      </x:c>
      <x:c r="J330" t="n">
        <x:v>0</x:v>
      </x:c>
      <x:c r="K330" t="n">
        <x:v>0</x:v>
      </x:c>
      <x:c r="L330" t="n">
        <x:v>1</x:v>
      </x:c>
    </x:row>
    <x:row r="331">
      <x:c r="A331" t="str">
        <x:v>GOV-0327</x:v>
      </x:c>
      <x:c r="B331" s="1" t="d">
        <x:v>2026-06-22T00:00:00.000Z</x:v>
      </x:c>
      <x:c r="C331" s="1"/>
      <x:c r="D331" t="str">
        <x:v>Product</x:v>
      </x:c>
      <x:c r="E331" t="str">
        <x:v>Low</x:v>
      </x:c>
      <x:c r="F331" t="str">
        <x:v>Product ops</x:v>
      </x:c>
      <x:c r="G331" t="str">
        <x:v>Open</x:v>
      </x:c>
      <x:c r="H331" t="n">
        <x:v>14</x:v>
      </x:c>
      <x:c r="I331" t="n">
        <x:v>8</x:v>
      </x:c>
      <x:c r="J331" t="n">
        <x:v>0</x:v>
      </x:c>
      <x:c r="K331" t="n">
        <x:v>0</x:v>
      </x:c>
      <x:c r="L331" t="n">
        <x:v>0</x:v>
      </x:c>
    </x:row>
    <x:row r="332">
      <x:c r="A332" t="str">
        <x:v>GOV-0328</x:v>
      </x:c>
      <x:c r="B332" s="1" t="d">
        <x:v>2026-06-07T00:00:00.000Z</x:v>
      </x:c>
      <x:c r="C332" s="1"/>
      <x:c r="D332" t="str">
        <x:v>Finance</x:v>
      </x:c>
      <x:c r="E332" t="str">
        <x:v>Low</x:v>
      </x:c>
      <x:c r="F332" t="str">
        <x:v>Finance data</x:v>
      </x:c>
      <x:c r="G332" t="str">
        <x:v>Open</x:v>
      </x:c>
      <x:c r="H332" t="n">
        <x:v>14</x:v>
      </x:c>
      <x:c r="I332" t="n">
        <x:v>23</x:v>
      </x:c>
      <x:c r="J332" t="n">
        <x:v>0</x:v>
      </x:c>
      <x:c r="K332" t="n">
        <x:v>0</x:v>
      </x:c>
      <x:c r="L332" t="n">
        <x:v>1</x:v>
      </x:c>
    </x:row>
    <x:row r="333">
      <x:c r="A333" t="str">
        <x:v>GOV-0329</x:v>
      </x:c>
      <x:c r="B333" s="1" t="d">
        <x:v>2026-05-16T00:00:00.000Z</x:v>
      </x:c>
      <x:c r="C333" s="1" t="d">
        <x:v>2026-05-25T00:00:00.000Z</x:v>
      </x:c>
      <x:c r="D333" t="str">
        <x:v>Supplier</x:v>
      </x:c>
      <x:c r="E333" t="str">
        <x:v>High</x:v>
      </x:c>
      <x:c r="F333" t="str">
        <x:v>Procurement data</x:v>
      </x:c>
      <x:c r="G333" t="str">
        <x:v>Closed</x:v>
      </x:c>
      <x:c r="H333" t="n">
        <x:v>3</x:v>
      </x:c>
      <x:c r="I333" t="n">
        <x:v>9</x:v>
      </x:c>
      <x:c r="J333" t="n">
        <x:v>1</x:v>
      </x:c>
      <x:c r="K333" t="n">
        <x:v>0</x:v>
      </x:c>
      <x:c r="L333" t="n">
        <x:v>0</x:v>
      </x:c>
    </x:row>
    <x:row r="334">
      <x:c r="A334" t="str">
        <x:v>GOV-0330</x:v>
      </x:c>
      <x:c r="B334" s="1" t="d">
        <x:v>2026-05-04T00:00:00.000Z</x:v>
      </x:c>
      <x:c r="C334" s="1" t="d">
        <x:v>2026-05-21T00:00:00.000Z</x:v>
      </x:c>
      <x:c r="D334" t="str">
        <x:v>Finance</x:v>
      </x:c>
      <x:c r="E334" t="str">
        <x:v>High</x:v>
      </x:c>
      <x:c r="F334" t="str">
        <x:v>Finance data</x:v>
      </x:c>
      <x:c r="G334" t="str">
        <x:v>Closed</x:v>
      </x:c>
      <x:c r="H334" t="n">
        <x:v>3</x:v>
      </x:c>
      <x:c r="I334" t="n">
        <x:v>17</x:v>
      </x:c>
      <x:c r="J334" t="n">
        <x:v>1</x:v>
      </x:c>
      <x:c r="K334" t="n">
        <x:v>0</x:v>
      </x:c>
      <x:c r="L334" t="n">
        <x:v>0</x:v>
      </x:c>
    </x:row>
    <x:row r="335">
      <x:c r="A335" t="str">
        <x:v>GOV-0331</x:v>
      </x:c>
      <x:c r="B335" s="1" t="d">
        <x:v>2026-03-27T00:00:00.000Z</x:v>
      </x:c>
      <x:c r="C335" s="1" t="d">
        <x:v>2026-04-05T00:00:00.000Z</x:v>
      </x:c>
      <x:c r="D335" t="str">
        <x:v>Supplier</x:v>
      </x:c>
      <x:c r="E335" t="str">
        <x:v>High</x:v>
      </x:c>
      <x:c r="F335" t="str">
        <x:v>Procurement data</x:v>
      </x:c>
      <x:c r="G335" t="str">
        <x:v>Closed</x:v>
      </x:c>
      <x:c r="H335" t="n">
        <x:v>3</x:v>
      </x:c>
      <x:c r="I335" t="n">
        <x:v>9</x:v>
      </x:c>
      <x:c r="J335" t="n">
        <x:v>1</x:v>
      </x:c>
      <x:c r="K335" t="n">
        <x:v>0</x:v>
      </x:c>
      <x:c r="L335" t="n">
        <x:v>0</x:v>
      </x:c>
    </x:row>
    <x:row r="336">
      <x:c r="A336" t="str">
        <x:v>GOV-0332</x:v>
      </x:c>
      <x:c r="B336" s="1" t="d">
        <x:v>2026-02-26T00:00:00.000Z</x:v>
      </x:c>
      <x:c r="C336" s="1" t="d">
        <x:v>2026-03-06T00:00:00.000Z</x:v>
      </x:c>
      <x:c r="D336" t="str">
        <x:v>Finance</x:v>
      </x:c>
      <x:c r="E336" t="str">
        <x:v>Medium</x:v>
      </x:c>
      <x:c r="F336" t="str">
        <x:v>Finance data</x:v>
      </x:c>
      <x:c r="G336" t="str">
        <x:v>Closed</x:v>
      </x:c>
      <x:c r="H336" t="n">
        <x:v>7</x:v>
      </x:c>
      <x:c r="I336" t="n">
        <x:v>8</x:v>
      </x:c>
      <x:c r="J336" t="n">
        <x:v>1</x:v>
      </x:c>
      <x:c r="K336" t="n">
        <x:v>0</x:v>
      </x:c>
      <x:c r="L336" t="n">
        <x:v>0</x:v>
      </x:c>
    </x:row>
    <x:row r="337">
      <x:c r="A337" t="str">
        <x:v>GOV-0333</x:v>
      </x:c>
      <x:c r="B337" s="1" t="d">
        <x:v>2026-06-18T00:00:00.000Z</x:v>
      </x:c>
      <x:c r="C337" s="1"/>
      <x:c r="D337" t="str">
        <x:v>Supplier</x:v>
      </x:c>
      <x:c r="E337" t="str">
        <x:v>Low</x:v>
      </x:c>
      <x:c r="F337" t="str">
        <x:v>Procurement data</x:v>
      </x:c>
      <x:c r="G337" t="str">
        <x:v>Open</x:v>
      </x:c>
      <x:c r="H337" t="n">
        <x:v>14</x:v>
      </x:c>
      <x:c r="I337" t="n">
        <x:v>12</x:v>
      </x:c>
      <x:c r="J337" t="n">
        <x:v>0</x:v>
      </x:c>
      <x:c r="K337" t="n">
        <x:v>0</x:v>
      </x:c>
      <x:c r="L337" t="n">
        <x:v>0</x:v>
      </x:c>
    </x:row>
    <x:row r="338">
      <x:c r="A338" t="str">
        <x:v>GOV-0334</x:v>
      </x:c>
      <x:c r="B338" s="1" t="d">
        <x:v>2026-03-13T00:00:00.000Z</x:v>
      </x:c>
      <x:c r="C338" s="1" t="d">
        <x:v>2026-03-24T00:00:00.000Z</x:v>
      </x:c>
      <x:c r="D338" t="str">
        <x:v>Product</x:v>
      </x:c>
      <x:c r="E338" t="str">
        <x:v>High</x:v>
      </x:c>
      <x:c r="F338" t="str">
        <x:v>Product ops</x:v>
      </x:c>
      <x:c r="G338" t="str">
        <x:v>Closed</x:v>
      </x:c>
      <x:c r="H338" t="n">
        <x:v>3</x:v>
      </x:c>
      <x:c r="I338" t="n">
        <x:v>11</x:v>
      </x:c>
      <x:c r="J338" t="n">
        <x:v>1</x:v>
      </x:c>
      <x:c r="K338" t="n">
        <x:v>0</x:v>
      </x:c>
      <x:c r="L338" t="n">
        <x:v>0</x:v>
      </x:c>
    </x:row>
    <x:row r="339">
      <x:c r="A339" t="str">
        <x:v>GOV-0335</x:v>
      </x:c>
      <x:c r="B339" s="1" t="d">
        <x:v>2026-01-13T00:00:00.000Z</x:v>
      </x:c>
      <x:c r="C339" s="1"/>
      <x:c r="D339" t="str">
        <x:v>Supplier</x:v>
      </x:c>
      <x:c r="E339" t="str">
        <x:v>High</x:v>
      </x:c>
      <x:c r="F339" t="str">
        <x:v>Procurement data</x:v>
      </x:c>
      <x:c r="G339" t="str">
        <x:v>Open</x:v>
      </x:c>
      <x:c r="H339" t="n">
        <x:v>3</x:v>
      </x:c>
      <x:c r="I339" t="n">
        <x:v>168</x:v>
      </x:c>
      <x:c r="J339" t="n">
        <x:v>0</x:v>
      </x:c>
      <x:c r="K339" t="n">
        <x:v>0</x:v>
      </x:c>
      <x:c r="L339" t="n">
        <x:v>1</x:v>
      </x:c>
    </x:row>
    <x:row r="340">
      <x:c r="A340" t="str">
        <x:v>GOV-0336</x:v>
      </x:c>
      <x:c r="B340" s="1" t="d">
        <x:v>2026-01-29T00:00:00.000Z</x:v>
      </x:c>
      <x:c r="C340" s="1" t="d">
        <x:v>2026-02-04T00:00:00.000Z</x:v>
      </x:c>
      <x:c r="D340" t="str">
        <x:v>Customer</x:v>
      </x:c>
      <x:c r="E340" t="str">
        <x:v>Medium</x:v>
      </x:c>
      <x:c r="F340" t="str">
        <x:v>CRM stewardship</x:v>
      </x:c>
      <x:c r="G340" t="str">
        <x:v>Closed</x:v>
      </x:c>
      <x:c r="H340" t="n">
        <x:v>7</x:v>
      </x:c>
      <x:c r="I340" t="n">
        <x:v>6</x:v>
      </x:c>
      <x:c r="J340" t="n">
        <x:v>1</x:v>
      </x:c>
      <x:c r="K340" t="n">
        <x:v>1</x:v>
      </x:c>
      <x:c r="L340" t="n">
        <x:v>0</x:v>
      </x:c>
    </x:row>
    <x:row r="341">
      <x:c r="A341" t="str">
        <x:v>GOV-0337</x:v>
      </x:c>
      <x:c r="B341" s="1" t="d">
        <x:v>2026-01-20T00:00:00.000Z</x:v>
      </x:c>
      <x:c r="C341" s="1"/>
      <x:c r="D341" t="str">
        <x:v>Product</x:v>
      </x:c>
      <x:c r="E341" t="str">
        <x:v>Low</x:v>
      </x:c>
      <x:c r="F341" t="str">
        <x:v>Product ops</x:v>
      </x:c>
      <x:c r="G341" t="str">
        <x:v>Open</x:v>
      </x:c>
      <x:c r="H341" t="n">
        <x:v>14</x:v>
      </x:c>
      <x:c r="I341" t="n">
        <x:v>161</x:v>
      </x:c>
      <x:c r="J341" t="n">
        <x:v>0</x:v>
      </x:c>
      <x:c r="K341" t="n">
        <x:v>0</x:v>
      </x:c>
      <x:c r="L341" t="n">
        <x:v>1</x:v>
      </x:c>
    </x:row>
    <x:row r="342">
      <x:c r="A342" t="str">
        <x:v>GOV-0338</x:v>
      </x:c>
      <x:c r="B342" s="1" t="d">
        <x:v>2026-02-01T00:00:00.000Z</x:v>
      </x:c>
      <x:c r="C342" s="1"/>
      <x:c r="D342" t="str">
        <x:v>Customer</x:v>
      </x:c>
      <x:c r="E342" t="str">
        <x:v>High</x:v>
      </x:c>
      <x:c r="F342" t="str">
        <x:v>CRM stewardship</x:v>
      </x:c>
      <x:c r="G342" t="str">
        <x:v>Open</x:v>
      </x:c>
      <x:c r="H342" t="n">
        <x:v>3</x:v>
      </x:c>
      <x:c r="I342" t="n">
        <x:v>149</x:v>
      </x:c>
      <x:c r="J342" t="n">
        <x:v>0</x:v>
      </x:c>
      <x:c r="K342" t="n">
        <x:v>0</x:v>
      </x:c>
      <x:c r="L342" t="n">
        <x:v>1</x:v>
      </x:c>
    </x:row>
    <x:row r="343">
      <x:c r="A343" t="str">
        <x:v>GOV-0339</x:v>
      </x:c>
      <x:c r="B343" s="1" t="d">
        <x:v>2026-06-21T00:00:00.000Z</x:v>
      </x:c>
      <x:c r="C343" s="1" t="d">
        <x:v>2026-06-26T00:00:00.000Z</x:v>
      </x:c>
      <x:c r="D343" t="str">
        <x:v>Finance</x:v>
      </x:c>
      <x:c r="E343" t="str">
        <x:v>High</x:v>
      </x:c>
      <x:c r="F343" t="str">
        <x:v>Finance data</x:v>
      </x:c>
      <x:c r="G343" t="str">
        <x:v>Closed</x:v>
      </x:c>
      <x:c r="H343" t="n">
        <x:v>3</x:v>
      </x:c>
      <x:c r="I343" t="n">
        <x:v>5</x:v>
      </x:c>
      <x:c r="J343" t="n">
        <x:v>1</x:v>
      </x:c>
      <x:c r="K343" t="n">
        <x:v>0</x:v>
      </x:c>
      <x:c r="L343" t="n">
        <x:v>0</x:v>
      </x:c>
    </x:row>
    <x:row r="344">
      <x:c r="A344" t="str">
        <x:v>GOV-0340</x:v>
      </x:c>
      <x:c r="B344" s="1" t="d">
        <x:v>2026-03-12T00:00:00.000Z</x:v>
      </x:c>
      <x:c r="C344" s="1" t="d">
        <x:v>2026-04-03T00:00:00.000Z</x:v>
      </x:c>
      <x:c r="D344" t="str">
        <x:v>Supplier</x:v>
      </x:c>
      <x:c r="E344" t="str">
        <x:v>High</x:v>
      </x:c>
      <x:c r="F344" t="str">
        <x:v>Procurement data</x:v>
      </x:c>
      <x:c r="G344" t="str">
        <x:v>Closed</x:v>
      </x:c>
      <x:c r="H344" t="n">
        <x:v>3</x:v>
      </x:c>
      <x:c r="I344" t="n">
        <x:v>22</x:v>
      </x:c>
      <x:c r="J344" t="n">
        <x:v>1</x:v>
      </x:c>
      <x:c r="K344" t="n">
        <x:v>0</x:v>
      </x:c>
      <x:c r="L344" t="n">
        <x:v>0</x:v>
      </x:c>
    </x:row>
    <x:row r="345">
      <x:c r="A345" t="str">
        <x:v>GOV-0341</x:v>
      </x:c>
      <x:c r="B345" s="1" t="d">
        <x:v>2026-05-06T00:00:00.000Z</x:v>
      </x:c>
      <x:c r="C345" s="1" t="d">
        <x:v>2026-05-24T00:00:00.000Z</x:v>
      </x:c>
      <x:c r="D345" t="str">
        <x:v>Finance</x:v>
      </x:c>
      <x:c r="E345" t="str">
        <x:v>Medium</x:v>
      </x:c>
      <x:c r="F345" t="str">
        <x:v>Finance data</x:v>
      </x:c>
      <x:c r="G345" t="str">
        <x:v>Closed</x:v>
      </x:c>
      <x:c r="H345" t="n">
        <x:v>7</x:v>
      </x:c>
      <x:c r="I345" t="n">
        <x:v>18</x:v>
      </x:c>
      <x:c r="J345" t="n">
        <x:v>1</x:v>
      </x:c>
      <x:c r="K345" t="n">
        <x:v>0</x:v>
      </x:c>
      <x:c r="L345" t="n">
        <x:v>0</x:v>
      </x:c>
    </x:row>
    <x:row r="346">
      <x:c r="A346" t="str">
        <x:v>GOV-0342</x:v>
      </x:c>
      <x:c r="B346" s="1" t="d">
        <x:v>2026-03-09T00:00:00.000Z</x:v>
      </x:c>
      <x:c r="C346" s="1"/>
      <x:c r="D346" t="str">
        <x:v>Customer</x:v>
      </x:c>
      <x:c r="E346" t="str">
        <x:v>Medium</x:v>
      </x:c>
      <x:c r="F346" t="str">
        <x:v>CRM stewardship</x:v>
      </x:c>
      <x:c r="G346" t="str">
        <x:v>Open</x:v>
      </x:c>
      <x:c r="H346" t="n">
        <x:v>7</x:v>
      </x:c>
      <x:c r="I346" t="n">
        <x:v>113</x:v>
      </x:c>
      <x:c r="J346" t="n">
        <x:v>0</x:v>
      </x:c>
      <x:c r="K346" t="n">
        <x:v>0</x:v>
      </x:c>
      <x:c r="L346" t="n">
        <x:v>1</x:v>
      </x:c>
    </x:row>
    <x:row r="347">
      <x:c r="A347" t="str">
        <x:v>GOV-0343</x:v>
      </x:c>
      <x:c r="B347" s="1" t="d">
        <x:v>2026-05-26T00:00:00.000Z</x:v>
      </x:c>
      <x:c r="C347" s="1" t="d">
        <x:v>2026-05-30T00:00:00.000Z</x:v>
      </x:c>
      <x:c r="D347" t="str">
        <x:v>Supplier</x:v>
      </x:c>
      <x:c r="E347" t="str">
        <x:v>Medium</x:v>
      </x:c>
      <x:c r="F347" t="str">
        <x:v>Procurement data</x:v>
      </x:c>
      <x:c r="G347" t="str">
        <x:v>Closed</x:v>
      </x:c>
      <x:c r="H347" t="n">
        <x:v>7</x:v>
      </x:c>
      <x:c r="I347" t="n">
        <x:v>4</x:v>
      </x:c>
      <x:c r="J347" t="n">
        <x:v>1</x:v>
      </x:c>
      <x:c r="K347" t="n">
        <x:v>1</x:v>
      </x:c>
      <x:c r="L347" t="n">
        <x:v>0</x:v>
      </x:c>
    </x:row>
    <x:row r="348">
      <x:c r="A348" t="str">
        <x:v>GOV-0344</x:v>
      </x:c>
      <x:c r="B348" s="1" t="d">
        <x:v>2026-04-15T00:00:00.000Z</x:v>
      </x:c>
      <x:c r="C348" s="1"/>
      <x:c r="D348" t="str">
        <x:v>Product</x:v>
      </x:c>
      <x:c r="E348" t="str">
        <x:v>High</x:v>
      </x:c>
      <x:c r="F348" t="str">
        <x:v>Product ops</x:v>
      </x:c>
      <x:c r="G348" t="str">
        <x:v>Open</x:v>
      </x:c>
      <x:c r="H348" t="n">
        <x:v>3</x:v>
      </x:c>
      <x:c r="I348" t="n">
        <x:v>76</x:v>
      </x:c>
      <x:c r="J348" t="n">
        <x:v>0</x:v>
      </x:c>
      <x:c r="K348" t="n">
        <x:v>0</x:v>
      </x:c>
      <x:c r="L348" t="n">
        <x:v>1</x:v>
      </x:c>
    </x:row>
    <x:row r="349">
      <x:c r="A349" t="str">
        <x:v>GOV-0345</x:v>
      </x:c>
      <x:c r="B349" s="1" t="d">
        <x:v>2026-02-17T00:00:00.000Z</x:v>
      </x:c>
      <x:c r="C349" s="1" t="d">
        <x:v>2026-03-10T00:00:00.000Z</x:v>
      </x:c>
      <x:c r="D349" t="str">
        <x:v>Supplier</x:v>
      </x:c>
      <x:c r="E349" t="str">
        <x:v>Medium</x:v>
      </x:c>
      <x:c r="F349" t="str">
        <x:v>Procurement data</x:v>
      </x:c>
      <x:c r="G349" t="str">
        <x:v>Closed</x:v>
      </x:c>
      <x:c r="H349" t="n">
        <x:v>7</x:v>
      </x:c>
      <x:c r="I349" t="n">
        <x:v>21</x:v>
      </x:c>
      <x:c r="J349" t="n">
        <x:v>1</x:v>
      </x:c>
      <x:c r="K349" t="n">
        <x:v>0</x:v>
      </x:c>
      <x:c r="L349" t="n">
        <x:v>0</x:v>
      </x:c>
    </x:row>
    <x:row r="350">
      <x:c r="A350" t="str">
        <x:v>GOV-0346</x:v>
      </x:c>
      <x:c r="B350" s="1" t="d">
        <x:v>2026-02-03T00:00:00.000Z</x:v>
      </x:c>
      <x:c r="C350" s="1"/>
      <x:c r="D350" t="str">
        <x:v>Finance</x:v>
      </x:c>
      <x:c r="E350" t="str">
        <x:v>Low</x:v>
      </x:c>
      <x:c r="F350" t="str">
        <x:v>Finance data</x:v>
      </x:c>
      <x:c r="G350" t="str">
        <x:v>Open</x:v>
      </x:c>
      <x:c r="H350" t="n">
        <x:v>14</x:v>
      </x:c>
      <x:c r="I350" t="n">
        <x:v>147</x:v>
      </x:c>
      <x:c r="J350" t="n">
        <x:v>0</x:v>
      </x:c>
      <x:c r="K350" t="n">
        <x:v>0</x:v>
      </x:c>
      <x:c r="L350" t="n">
        <x:v>1</x:v>
      </x:c>
    </x:row>
    <x:row r="351">
      <x:c r="A351" t="str">
        <x:v>GOV-0347</x:v>
      </x:c>
      <x:c r="B351" s="1" t="d">
        <x:v>2026-01-30T00:00:00.000Z</x:v>
      </x:c>
      <x:c r="C351" s="1" t="d">
        <x:v>2026-02-08T00:00:00.000Z</x:v>
      </x:c>
      <x:c r="D351" t="str">
        <x:v>Supplier</x:v>
      </x:c>
      <x:c r="E351" t="str">
        <x:v>Medium</x:v>
      </x:c>
      <x:c r="F351" t="str">
        <x:v>Procurement data</x:v>
      </x:c>
      <x:c r="G351" t="str">
        <x:v>Closed</x:v>
      </x:c>
      <x:c r="H351" t="n">
        <x:v>7</x:v>
      </x:c>
      <x:c r="I351" t="n">
        <x:v>9</x:v>
      </x:c>
      <x:c r="J351" t="n">
        <x:v>1</x:v>
      </x:c>
      <x:c r="K351" t="n">
        <x:v>0</x:v>
      </x:c>
      <x:c r="L351" t="n">
        <x:v>0</x:v>
      </x:c>
    </x:row>
    <x:row r="352">
      <x:c r="A352" t="str">
        <x:v>GOV-0348</x:v>
      </x:c>
      <x:c r="B352" s="1" t="d">
        <x:v>2026-05-14T00:00:00.000Z</x:v>
      </x:c>
      <x:c r="C352" s="1"/>
      <x:c r="D352" t="str">
        <x:v>Finance</x:v>
      </x:c>
      <x:c r="E352" t="str">
        <x:v>Low</x:v>
      </x:c>
      <x:c r="F352" t="str">
        <x:v>Finance data</x:v>
      </x:c>
      <x:c r="G352" t="str">
        <x:v>Open</x:v>
      </x:c>
      <x:c r="H352" t="n">
        <x:v>14</x:v>
      </x:c>
      <x:c r="I352" t="n">
        <x:v>47</x:v>
      </x:c>
      <x:c r="J352" t="n">
        <x:v>0</x:v>
      </x:c>
      <x:c r="K352" t="n">
        <x:v>0</x:v>
      </x:c>
      <x:c r="L352" t="n">
        <x:v>1</x:v>
      </x:c>
    </x:row>
    <x:row r="353">
      <x:c r="A353" t="str">
        <x:v>GOV-0349</x:v>
      </x:c>
      <x:c r="B353" s="1" t="d">
        <x:v>2026-04-25T00:00:00.000Z</x:v>
      </x:c>
      <x:c r="C353" s="1"/>
      <x:c r="D353" t="str">
        <x:v>Customer</x:v>
      </x:c>
      <x:c r="E353" t="str">
        <x:v>Low</x:v>
      </x:c>
      <x:c r="F353" t="str">
        <x:v>CRM stewardship</x:v>
      </x:c>
      <x:c r="G353" t="str">
        <x:v>Open</x:v>
      </x:c>
      <x:c r="H353" t="n">
        <x:v>14</x:v>
      </x:c>
      <x:c r="I353" t="n">
        <x:v>66</x:v>
      </x:c>
      <x:c r="J353" t="n">
        <x:v>0</x:v>
      </x:c>
      <x:c r="K353" t="n">
        <x:v>0</x:v>
      </x:c>
      <x:c r="L353" t="n">
        <x:v>1</x:v>
      </x:c>
    </x:row>
    <x:row r="354">
      <x:c r="A354" t="str">
        <x:v>GOV-0350</x:v>
      </x:c>
      <x:c r="B354" s="1" t="d">
        <x:v>2026-06-11T00:00:00.000Z</x:v>
      </x:c>
      <x:c r="C354" s="1" t="d">
        <x:v>2026-06-29T00:00:00.000Z</x:v>
      </x:c>
      <x:c r="D354" t="str">
        <x:v>Customer</x:v>
      </x:c>
      <x:c r="E354" t="str">
        <x:v>Medium</x:v>
      </x:c>
      <x:c r="F354" t="str">
        <x:v>CRM stewardship</x:v>
      </x:c>
      <x:c r="G354" t="str">
        <x:v>Closed</x:v>
      </x:c>
      <x:c r="H354" t="n">
        <x:v>7</x:v>
      </x:c>
      <x:c r="I354" t="n">
        <x:v>18</x:v>
      </x:c>
      <x:c r="J354" t="n">
        <x:v>1</x:v>
      </x:c>
      <x:c r="K354" t="n">
        <x:v>0</x:v>
      </x:c>
      <x:c r="L354" t="n">
        <x:v>0</x:v>
      </x:c>
    </x:row>
    <x:row r="355">
      <x:c r="A355" t="str">
        <x:v>GOV-0351</x:v>
      </x:c>
      <x:c r="B355" s="1" t="d">
        <x:v>2026-01-19T00:00:00.000Z</x:v>
      </x:c>
      <x:c r="C355" s="1" t="d">
        <x:v>2026-01-21T00:00:00.000Z</x:v>
      </x:c>
      <x:c r="D355" t="str">
        <x:v>Product</x:v>
      </x:c>
      <x:c r="E355" t="str">
        <x:v>Medium</x:v>
      </x:c>
      <x:c r="F355" t="str">
        <x:v>Product ops</x:v>
      </x:c>
      <x:c r="G355" t="str">
        <x:v>Closed</x:v>
      </x:c>
      <x:c r="H355" t="n">
        <x:v>7</x:v>
      </x:c>
      <x:c r="I355" t="n">
        <x:v>2</x:v>
      </x:c>
      <x:c r="J355" t="n">
        <x:v>1</x:v>
      </x:c>
      <x:c r="K355" t="n">
        <x:v>1</x:v>
      </x:c>
      <x:c r="L355" t="n">
        <x:v>0</x:v>
      </x:c>
    </x:row>
    <x:row r="356">
      <x:c r="A356" t="str">
        <x:v>GOV-0352</x:v>
      </x:c>
      <x:c r="B356" s="1" t="d">
        <x:v>2026-06-02T00:00:00.000Z</x:v>
      </x:c>
      <x:c r="C356" s="1" t="d">
        <x:v>2026-06-06T00:00:00.000Z</x:v>
      </x:c>
      <x:c r="D356" t="str">
        <x:v>Supplier</x:v>
      </x:c>
      <x:c r="E356" t="str">
        <x:v>Medium</x:v>
      </x:c>
      <x:c r="F356" t="str">
        <x:v>Procurement data</x:v>
      </x:c>
      <x:c r="G356" t="str">
        <x:v>Closed</x:v>
      </x:c>
      <x:c r="H356" t="n">
        <x:v>7</x:v>
      </x:c>
      <x:c r="I356" t="n">
        <x:v>4</x:v>
      </x:c>
      <x:c r="J356" t="n">
        <x:v>1</x:v>
      </x:c>
      <x:c r="K356" t="n">
        <x:v>1</x:v>
      </x:c>
      <x:c r="L356" t="n">
        <x:v>0</x:v>
      </x:c>
    </x:row>
    <x:row r="357">
      <x:c r="A357" t="str">
        <x:v>GOV-0353</x:v>
      </x:c>
      <x:c r="B357" s="1" t="d">
        <x:v>2026-01-23T00:00:00.000Z</x:v>
      </x:c>
      <x:c r="C357" s="1" t="d">
        <x:v>2026-02-01T00:00:00.000Z</x:v>
      </x:c>
      <x:c r="D357" t="str">
        <x:v>Finance</x:v>
      </x:c>
      <x:c r="E357" t="str">
        <x:v>Medium</x:v>
      </x:c>
      <x:c r="F357" t="str">
        <x:v>Finance data</x:v>
      </x:c>
      <x:c r="G357" t="str">
        <x:v>Closed</x:v>
      </x:c>
      <x:c r="H357" t="n">
        <x:v>7</x:v>
      </x:c>
      <x:c r="I357" t="n">
        <x:v>9</x:v>
      </x:c>
      <x:c r="J357" t="n">
        <x:v>1</x:v>
      </x:c>
      <x:c r="K357" t="n">
        <x:v>0</x:v>
      </x:c>
      <x:c r="L357" t="n">
        <x:v>0</x:v>
      </x:c>
    </x:row>
    <x:row r="358">
      <x:c r="A358" t="str">
        <x:v>GOV-0354</x:v>
      </x:c>
      <x:c r="B358" s="1" t="d">
        <x:v>2026-05-19T00:00:00.000Z</x:v>
      </x:c>
      <x:c r="C358" s="1" t="d">
        <x:v>2026-05-27T00:00:00.000Z</x:v>
      </x:c>
      <x:c r="D358" t="str">
        <x:v>Product</x:v>
      </x:c>
      <x:c r="E358" t="str">
        <x:v>Low</x:v>
      </x:c>
      <x:c r="F358" t="str">
        <x:v>Product ops</x:v>
      </x:c>
      <x:c r="G358" t="str">
        <x:v>Closed</x:v>
      </x:c>
      <x:c r="H358" t="n">
        <x:v>14</x:v>
      </x:c>
      <x:c r="I358" t="n">
        <x:v>8</x:v>
      </x:c>
      <x:c r="J358" t="n">
        <x:v>1</x:v>
      </x:c>
      <x:c r="K358" t="n">
        <x:v>1</x:v>
      </x:c>
      <x:c r="L358" t="n">
        <x:v>0</x:v>
      </x:c>
    </x:row>
    <x:row r="359">
      <x:c r="A359" t="str">
        <x:v>GOV-0355</x:v>
      </x:c>
      <x:c r="B359" s="1" t="d">
        <x:v>2026-06-22T00:00:00.000Z</x:v>
      </x:c>
      <x:c r="C359" s="1"/>
      <x:c r="D359" t="str">
        <x:v>Supplier</x:v>
      </x:c>
      <x:c r="E359" t="str">
        <x:v>Low</x:v>
      </x:c>
      <x:c r="F359" t="str">
        <x:v>Procurement data</x:v>
      </x:c>
      <x:c r="G359" t="str">
        <x:v>Open</x:v>
      </x:c>
      <x:c r="H359" t="n">
        <x:v>14</x:v>
      </x:c>
      <x:c r="I359" t="n">
        <x:v>8</x:v>
      </x:c>
      <x:c r="J359" t="n">
        <x:v>0</x:v>
      </x:c>
      <x:c r="K359" t="n">
        <x:v>0</x:v>
      </x:c>
      <x:c r="L359" t="n">
        <x:v>0</x:v>
      </x:c>
    </x:row>
    <x:row r="360">
      <x:c r="A360" t="str">
        <x:v>GOV-0356</x:v>
      </x:c>
      <x:c r="B360" s="1" t="d">
        <x:v>2026-06-09T00:00:00.000Z</x:v>
      </x:c>
      <x:c r="C360" s="1" t="d">
        <x:v>2026-06-24T00:00:00.000Z</x:v>
      </x:c>
      <x:c r="D360" t="str">
        <x:v>Finance</x:v>
      </x:c>
      <x:c r="E360" t="str">
        <x:v>High</x:v>
      </x:c>
      <x:c r="F360" t="str">
        <x:v>Finance data</x:v>
      </x:c>
      <x:c r="G360" t="str">
        <x:v>Closed</x:v>
      </x:c>
      <x:c r="H360" t="n">
        <x:v>3</x:v>
      </x:c>
      <x:c r="I360" t="n">
        <x:v>15</x:v>
      </x:c>
      <x:c r="J360" t="n">
        <x:v>1</x:v>
      </x:c>
      <x:c r="K360" t="n">
        <x:v>0</x:v>
      </x:c>
      <x:c r="L360" t="n">
        <x:v>0</x:v>
      </x:c>
    </x:row>
    <x:row r="361">
      <x:c r="A361" t="str">
        <x:v>GOV-0357</x:v>
      </x:c>
      <x:c r="B361" s="1" t="d">
        <x:v>2026-05-05T00:00:00.000Z</x:v>
      </x:c>
      <x:c r="C361" s="1" t="d">
        <x:v>2026-05-07T00:00:00.000Z</x:v>
      </x:c>
      <x:c r="D361" t="str">
        <x:v>Product</x:v>
      </x:c>
      <x:c r="E361" t="str">
        <x:v>Medium</x:v>
      </x:c>
      <x:c r="F361" t="str">
        <x:v>Product ops</x:v>
      </x:c>
      <x:c r="G361" t="str">
        <x:v>Closed</x:v>
      </x:c>
      <x:c r="H361" t="n">
        <x:v>7</x:v>
      </x:c>
      <x:c r="I361" t="n">
        <x:v>2</x:v>
      </x:c>
      <x:c r="J361" t="n">
        <x:v>1</x:v>
      </x:c>
      <x:c r="K361" t="n">
        <x:v>1</x:v>
      </x:c>
      <x:c r="L361" t="n">
        <x:v>0</x:v>
      </x:c>
    </x:row>
    <x:row r="362">
      <x:c r="A362" t="str">
        <x:v>GOV-0358</x:v>
      </x:c>
      <x:c r="B362" s="1" t="d">
        <x:v>2026-04-23T00:00:00.000Z</x:v>
      </x:c>
      <x:c r="C362" s="1" t="d">
        <x:v>2026-05-12T00:00:00.000Z</x:v>
      </x:c>
      <x:c r="D362" t="str">
        <x:v>Customer</x:v>
      </x:c>
      <x:c r="E362" t="str">
        <x:v>Low</x:v>
      </x:c>
      <x:c r="F362" t="str">
        <x:v>CRM stewardship</x:v>
      </x:c>
      <x:c r="G362" t="str">
        <x:v>Closed</x:v>
      </x:c>
      <x:c r="H362" t="n">
        <x:v>14</x:v>
      </x:c>
      <x:c r="I362" t="n">
        <x:v>19</x:v>
      </x:c>
      <x:c r="J362" t="n">
        <x:v>1</x:v>
      </x:c>
      <x:c r="K362" t="n">
        <x:v>0</x:v>
      </x:c>
      <x:c r="L362" t="n">
        <x:v>0</x:v>
      </x:c>
    </x:row>
    <x:row r="363">
      <x:c r="A363" t="str">
        <x:v>GOV-0359</x:v>
      </x:c>
      <x:c r="B363" s="1" t="d">
        <x:v>2026-02-05T00:00:00.000Z</x:v>
      </x:c>
      <x:c r="C363" s="1" t="d">
        <x:v>2026-02-22T00:00:00.000Z</x:v>
      </x:c>
      <x:c r="D363" t="str">
        <x:v>Finance</x:v>
      </x:c>
      <x:c r="E363" t="str">
        <x:v>Medium</x:v>
      </x:c>
      <x:c r="F363" t="str">
        <x:v>Finance data</x:v>
      </x:c>
      <x:c r="G363" t="str">
        <x:v>Closed</x:v>
      </x:c>
      <x:c r="H363" t="n">
        <x:v>7</x:v>
      </x:c>
      <x:c r="I363" t="n">
        <x:v>17</x:v>
      </x:c>
      <x:c r="J363" t="n">
        <x:v>1</x:v>
      </x:c>
      <x:c r="K363" t="n">
        <x:v>0</x:v>
      </x:c>
      <x:c r="L363" t="n">
        <x:v>0</x:v>
      </x:c>
    </x:row>
    <x:row r="364">
      <x:c r="A364" t="str">
        <x:v>GOV-0360</x:v>
      </x:c>
      <x:c r="B364" s="1" t="d">
        <x:v>2026-02-23T00:00:00.000Z</x:v>
      </x:c>
      <x:c r="C364" s="1" t="d">
        <x:v>2026-03-04T00:00:00.000Z</x:v>
      </x:c>
      <x:c r="D364" t="str">
        <x:v>Supplier</x:v>
      </x:c>
      <x:c r="E364" t="str">
        <x:v>High</x:v>
      </x:c>
      <x:c r="F364" t="str">
        <x:v>Procurement data</x:v>
      </x:c>
      <x:c r="G364" t="str">
        <x:v>Closed</x:v>
      </x:c>
      <x:c r="H364" t="n">
        <x:v>3</x:v>
      </x:c>
      <x:c r="I364" t="n">
        <x:v>9</x:v>
      </x:c>
      <x:c r="J364" t="n">
        <x:v>1</x:v>
      </x:c>
      <x:c r="K364" t="n">
        <x:v>0</x:v>
      </x:c>
      <x:c r="L364" t="n">
        <x:v>0</x:v>
      </x:c>
    </x:row>
    <x:row r="365">
      <x:c r="A365" t="str">
        <x:v>GOV-0361</x:v>
      </x:c>
      <x:c r="B365" s="1" t="d">
        <x:v>2026-06-03T00:00:00.000Z</x:v>
      </x:c>
      <x:c r="C365" s="1" t="d">
        <x:v>2026-06-12T00:00:00.000Z</x:v>
      </x:c>
      <x:c r="D365" t="str">
        <x:v>Supplier</x:v>
      </x:c>
      <x:c r="E365" t="str">
        <x:v>High</x:v>
      </x:c>
      <x:c r="F365" t="str">
        <x:v>Procurement data</x:v>
      </x:c>
      <x:c r="G365" t="str">
        <x:v>Closed</x:v>
      </x:c>
      <x:c r="H365" t="n">
        <x:v>3</x:v>
      </x:c>
      <x:c r="I365" t="n">
        <x:v>9</x:v>
      </x:c>
      <x:c r="J365" t="n">
        <x:v>1</x:v>
      </x:c>
      <x:c r="K365" t="n">
        <x:v>0</x:v>
      </x:c>
      <x:c r="L365" t="n">
        <x:v>0</x:v>
      </x:c>
    </x:row>
    <x:row r="366">
      <x:c r="A366" t="str">
        <x:v>GOV-0362</x:v>
      </x:c>
      <x:c r="B366" s="1" t="d">
        <x:v>2026-05-03T00:00:00.000Z</x:v>
      </x:c>
      <x:c r="C366" s="1"/>
      <x:c r="D366" t="str">
        <x:v>Product</x:v>
      </x:c>
      <x:c r="E366" t="str">
        <x:v>Medium</x:v>
      </x:c>
      <x:c r="F366" t="str">
        <x:v>Product ops</x:v>
      </x:c>
      <x:c r="G366" t="str">
        <x:v>Open</x:v>
      </x:c>
      <x:c r="H366" t="n">
        <x:v>7</x:v>
      </x:c>
      <x:c r="I366" t="n">
        <x:v>58</x:v>
      </x:c>
      <x:c r="J366" t="n">
        <x:v>0</x:v>
      </x:c>
      <x:c r="K366" t="n">
        <x:v>0</x:v>
      </x:c>
      <x:c r="L366" t="n">
        <x:v>1</x:v>
      </x:c>
    </x:row>
    <x:row r="367">
      <x:c r="A367" t="str">
        <x:v>GOV-0363</x:v>
      </x:c>
      <x:c r="B367" s="1" t="d">
        <x:v>2026-02-16T00:00:00.000Z</x:v>
      </x:c>
      <x:c r="C367" s="1" t="d">
        <x:v>2026-02-22T00:00:00.000Z</x:v>
      </x:c>
      <x:c r="D367" t="str">
        <x:v>Finance</x:v>
      </x:c>
      <x:c r="E367" t="str">
        <x:v>Low</x:v>
      </x:c>
      <x:c r="F367" t="str">
        <x:v>Finance data</x:v>
      </x:c>
      <x:c r="G367" t="str">
        <x:v>Closed</x:v>
      </x:c>
      <x:c r="H367" t="n">
        <x:v>14</x:v>
      </x:c>
      <x:c r="I367" t="n">
        <x:v>6</x:v>
      </x:c>
      <x:c r="J367" t="n">
        <x:v>1</x:v>
      </x:c>
      <x:c r="K367" t="n">
        <x:v>1</x:v>
      </x:c>
      <x:c r="L367" t="n">
        <x:v>0</x:v>
      </x:c>
    </x:row>
    <x:row r="368">
      <x:c r="A368" t="str">
        <x:v>GOV-0364</x:v>
      </x:c>
      <x:c r="B368" s="1" t="d">
        <x:v>2026-03-16T00:00:00.000Z</x:v>
      </x:c>
      <x:c r="C368" s="1" t="d">
        <x:v>2026-03-20T00:00:00.000Z</x:v>
      </x:c>
      <x:c r="D368" t="str">
        <x:v>Finance</x:v>
      </x:c>
      <x:c r="E368" t="str">
        <x:v>Low</x:v>
      </x:c>
      <x:c r="F368" t="str">
        <x:v>Finance data</x:v>
      </x:c>
      <x:c r="G368" t="str">
        <x:v>Closed</x:v>
      </x:c>
      <x:c r="H368" t="n">
        <x:v>14</x:v>
      </x:c>
      <x:c r="I368" t="n">
        <x:v>4</x:v>
      </x:c>
      <x:c r="J368" t="n">
        <x:v>1</x:v>
      </x:c>
      <x:c r="K368" t="n">
        <x:v>1</x:v>
      </x:c>
      <x:c r="L368" t="n">
        <x:v>0</x:v>
      </x:c>
    </x:row>
    <x:row r="369">
      <x:c r="A369" t="str">
        <x:v>GOV-0365</x:v>
      </x:c>
      <x:c r="B369" s="1" t="d">
        <x:v>2026-02-06T00:00:00.000Z</x:v>
      </x:c>
      <x:c r="C369" s="1" t="d">
        <x:v>2026-02-16T00:00:00.000Z</x:v>
      </x:c>
      <x:c r="D369" t="str">
        <x:v>Product</x:v>
      </x:c>
      <x:c r="E369" t="str">
        <x:v>Medium</x:v>
      </x:c>
      <x:c r="F369" t="str">
        <x:v>Product ops</x:v>
      </x:c>
      <x:c r="G369" t="str">
        <x:v>Closed</x:v>
      </x:c>
      <x:c r="H369" t="n">
        <x:v>7</x:v>
      </x:c>
      <x:c r="I369" t="n">
        <x:v>10</x:v>
      </x:c>
      <x:c r="J369" t="n">
        <x:v>1</x:v>
      </x:c>
      <x:c r="K369" t="n">
        <x:v>0</x:v>
      </x:c>
      <x:c r="L369" t="n">
        <x:v>0</x:v>
      </x:c>
    </x:row>
    <x:row r="370">
      <x:c r="A370" t="str">
        <x:v>GOV-0366</x:v>
      </x:c>
      <x:c r="B370" s="1" t="d">
        <x:v>2026-01-08T00:00:00.000Z</x:v>
      </x:c>
      <x:c r="C370" s="1" t="d">
        <x:v>2026-01-22T00:00:00.000Z</x:v>
      </x:c>
      <x:c r="D370" t="str">
        <x:v>Product</x:v>
      </x:c>
      <x:c r="E370" t="str">
        <x:v>High</x:v>
      </x:c>
      <x:c r="F370" t="str">
        <x:v>Product ops</x:v>
      </x:c>
      <x:c r="G370" t="str">
        <x:v>Closed</x:v>
      </x:c>
      <x:c r="H370" t="n">
        <x:v>3</x:v>
      </x:c>
      <x:c r="I370" t="n">
        <x:v>14</x:v>
      </x:c>
      <x:c r="J370" t="n">
        <x:v>1</x:v>
      </x:c>
      <x:c r="K370" t="n">
        <x:v>0</x:v>
      </x:c>
      <x:c r="L370" t="n">
        <x:v>0</x:v>
      </x:c>
    </x:row>
    <x:row r="371">
      <x:c r="A371" t="str">
        <x:v>GOV-0367</x:v>
      </x:c>
      <x:c r="B371" s="1" t="d">
        <x:v>2026-01-22T00:00:00.000Z</x:v>
      </x:c>
      <x:c r="C371" s="1" t="d">
        <x:v>2026-02-09T00:00:00.000Z</x:v>
      </x:c>
      <x:c r="D371" t="str">
        <x:v>Finance</x:v>
      </x:c>
      <x:c r="E371" t="str">
        <x:v>High</x:v>
      </x:c>
      <x:c r="F371" t="str">
        <x:v>Finance data</x:v>
      </x:c>
      <x:c r="G371" t="str">
        <x:v>Closed</x:v>
      </x:c>
      <x:c r="H371" t="n">
        <x:v>3</x:v>
      </x:c>
      <x:c r="I371" t="n">
        <x:v>18</x:v>
      </x:c>
      <x:c r="J371" t="n">
        <x:v>1</x:v>
      </x:c>
      <x:c r="K371" t="n">
        <x:v>0</x:v>
      </x:c>
      <x:c r="L371" t="n">
        <x:v>0</x:v>
      </x:c>
    </x:row>
    <x:row r="372">
      <x:c r="A372" t="str">
        <x:v>GOV-0368</x:v>
      </x:c>
      <x:c r="B372" s="1" t="d">
        <x:v>2026-03-04T00:00:00.000Z</x:v>
      </x:c>
      <x:c r="C372" s="1"/>
      <x:c r="D372" t="str">
        <x:v>Product</x:v>
      </x:c>
      <x:c r="E372" t="str">
        <x:v>High</x:v>
      </x:c>
      <x:c r="F372" t="str">
        <x:v>Product ops</x:v>
      </x:c>
      <x:c r="G372" t="str">
        <x:v>Open</x:v>
      </x:c>
      <x:c r="H372" t="n">
        <x:v>3</x:v>
      </x:c>
      <x:c r="I372" t="n">
        <x:v>118</x:v>
      </x:c>
      <x:c r="J372" t="n">
        <x:v>0</x:v>
      </x:c>
      <x:c r="K372" t="n">
        <x:v>0</x:v>
      </x:c>
      <x:c r="L372" t="n">
        <x:v>1</x:v>
      </x:c>
    </x:row>
    <x:row r="373">
      <x:c r="A373" t="str">
        <x:v>GOV-0369</x:v>
      </x:c>
      <x:c r="B373" s="1" t="d">
        <x:v>2026-05-23T00:00:00.000Z</x:v>
      </x:c>
      <x:c r="C373" s="1" t="d">
        <x:v>2026-06-09T00:00:00.000Z</x:v>
      </x:c>
      <x:c r="D373" t="str">
        <x:v>Customer</x:v>
      </x:c>
      <x:c r="E373" t="str">
        <x:v>High</x:v>
      </x:c>
      <x:c r="F373" t="str">
        <x:v>CRM stewardship</x:v>
      </x:c>
      <x:c r="G373" t="str">
        <x:v>Closed</x:v>
      </x:c>
      <x:c r="H373" t="n">
        <x:v>3</x:v>
      </x:c>
      <x:c r="I373" t="n">
        <x:v>17</x:v>
      </x:c>
      <x:c r="J373" t="n">
        <x:v>1</x:v>
      </x:c>
      <x:c r="K373" t="n">
        <x:v>0</x:v>
      </x:c>
      <x:c r="L373" t="n">
        <x:v>0</x:v>
      </x:c>
    </x:row>
    <x:row r="374">
      <x:c r="A374" t="str">
        <x:v>GOV-0370</x:v>
      </x:c>
      <x:c r="B374" s="1" t="d">
        <x:v>2026-05-03T00:00:00.000Z</x:v>
      </x:c>
      <x:c r="C374" s="1" t="d">
        <x:v>2026-05-09T00:00:00.000Z</x:v>
      </x:c>
      <x:c r="D374" t="str">
        <x:v>Customer</x:v>
      </x:c>
      <x:c r="E374" t="str">
        <x:v>Low</x:v>
      </x:c>
      <x:c r="F374" t="str">
        <x:v>CRM stewardship</x:v>
      </x:c>
      <x:c r="G374" t="str">
        <x:v>Closed</x:v>
      </x:c>
      <x:c r="H374" t="n">
        <x:v>14</x:v>
      </x:c>
      <x:c r="I374" t="n">
        <x:v>6</x:v>
      </x:c>
      <x:c r="J374" t="n">
        <x:v>1</x:v>
      </x:c>
      <x:c r="K374" t="n">
        <x:v>1</x:v>
      </x:c>
      <x:c r="L374" t="n">
        <x:v>0</x:v>
      </x:c>
    </x:row>
    <x:row r="375">
      <x:c r="A375" t="str">
        <x:v>GOV-0371</x:v>
      </x:c>
      <x:c r="B375" s="1" t="d">
        <x:v>2026-05-20T00:00:00.000Z</x:v>
      </x:c>
      <x:c r="C375" s="1" t="d">
        <x:v>2026-05-31T00:00:00.000Z</x:v>
      </x:c>
      <x:c r="D375" t="str">
        <x:v>Finance</x:v>
      </x:c>
      <x:c r="E375" t="str">
        <x:v>Medium</x:v>
      </x:c>
      <x:c r="F375" t="str">
        <x:v>Finance data</x:v>
      </x:c>
      <x:c r="G375" t="str">
        <x:v>Closed</x:v>
      </x:c>
      <x:c r="H375" t="n">
        <x:v>7</x:v>
      </x:c>
      <x:c r="I375" t="n">
        <x:v>11</x:v>
      </x:c>
      <x:c r="J375" t="n">
        <x:v>1</x:v>
      </x:c>
      <x:c r="K375" t="n">
        <x:v>0</x:v>
      </x:c>
      <x:c r="L375" t="n">
        <x:v>0</x:v>
      </x:c>
    </x:row>
    <x:row r="376">
      <x:c r="A376" t="str">
        <x:v>GOV-0372</x:v>
      </x:c>
      <x:c r="B376" s="1" t="d">
        <x:v>2026-03-21T00:00:00.000Z</x:v>
      </x:c>
      <x:c r="C376" s="1" t="d">
        <x:v>2026-04-13T00:00:00.000Z</x:v>
      </x:c>
      <x:c r="D376" t="str">
        <x:v>Supplier</x:v>
      </x:c>
      <x:c r="E376" t="str">
        <x:v>Low</x:v>
      </x:c>
      <x:c r="F376" t="str">
        <x:v>Procurement data</x:v>
      </x:c>
      <x:c r="G376" t="str">
        <x:v>Closed</x:v>
      </x:c>
      <x:c r="H376" t="n">
        <x:v>14</x:v>
      </x:c>
      <x:c r="I376" t="n">
        <x:v>23</x:v>
      </x:c>
      <x:c r="J376" t="n">
        <x:v>1</x:v>
      </x:c>
      <x:c r="K376" t="n">
        <x:v>0</x:v>
      </x:c>
      <x:c r="L376" t="n">
        <x:v>0</x:v>
      </x:c>
    </x:row>
    <x:row r="377">
      <x:c r="A377" t="str">
        <x:v>GOV-0373</x:v>
      </x:c>
      <x:c r="B377" s="1" t="d">
        <x:v>2026-06-07T00:00:00.000Z</x:v>
      </x:c>
      <x:c r="C377" s="1" t="d">
        <x:v>2026-06-09T00:00:00.000Z</x:v>
      </x:c>
      <x:c r="D377" t="str">
        <x:v>Finance</x:v>
      </x:c>
      <x:c r="E377" t="str">
        <x:v>Medium</x:v>
      </x:c>
      <x:c r="F377" t="str">
        <x:v>Finance data</x:v>
      </x:c>
      <x:c r="G377" t="str">
        <x:v>Closed</x:v>
      </x:c>
      <x:c r="H377" t="n">
        <x:v>7</x:v>
      </x:c>
      <x:c r="I377" t="n">
        <x:v>2</x:v>
      </x:c>
      <x:c r="J377" t="n">
        <x:v>1</x:v>
      </x:c>
      <x:c r="K377" t="n">
        <x:v>1</x:v>
      </x:c>
      <x:c r="L377" t="n">
        <x:v>0</x:v>
      </x:c>
    </x:row>
    <x:row r="378">
      <x:c r="A378" t="str">
        <x:v>GOV-0374</x:v>
      </x:c>
      <x:c r="B378" s="1" t="d">
        <x:v>2026-04-02T00:00:00.000Z</x:v>
      </x:c>
      <x:c r="C378" s="1" t="d">
        <x:v>2026-04-14T00:00:00.000Z</x:v>
      </x:c>
      <x:c r="D378" t="str">
        <x:v>Finance</x:v>
      </x:c>
      <x:c r="E378" t="str">
        <x:v>Medium</x:v>
      </x:c>
      <x:c r="F378" t="str">
        <x:v>Finance data</x:v>
      </x:c>
      <x:c r="G378" t="str">
        <x:v>Closed</x:v>
      </x:c>
      <x:c r="H378" t="n">
        <x:v>7</x:v>
      </x:c>
      <x:c r="I378" t="n">
        <x:v>12</x:v>
      </x:c>
      <x:c r="J378" t="n">
        <x:v>1</x:v>
      </x:c>
      <x:c r="K378" t="n">
        <x:v>0</x:v>
      </x:c>
      <x:c r="L378" t="n">
        <x:v>0</x:v>
      </x:c>
    </x:row>
    <x:row r="379">
      <x:c r="A379" t="str">
        <x:v>GOV-0375</x:v>
      </x:c>
      <x:c r="B379" s="1" t="d">
        <x:v>2026-05-18T00:00:00.000Z</x:v>
      </x:c>
      <x:c r="C379" s="1" t="d">
        <x:v>2026-05-31T00:00:00.000Z</x:v>
      </x:c>
      <x:c r="D379" t="str">
        <x:v>Product</x:v>
      </x:c>
      <x:c r="E379" t="str">
        <x:v>Medium</x:v>
      </x:c>
      <x:c r="F379" t="str">
        <x:v>Product ops</x:v>
      </x:c>
      <x:c r="G379" t="str">
        <x:v>Closed</x:v>
      </x:c>
      <x:c r="H379" t="n">
        <x:v>7</x:v>
      </x:c>
      <x:c r="I379" t="n">
        <x:v>13</x:v>
      </x:c>
      <x:c r="J379" t="n">
        <x:v>1</x:v>
      </x:c>
      <x:c r="K379" t="n">
        <x:v>0</x:v>
      </x:c>
      <x:c r="L379" t="n">
        <x:v>0</x:v>
      </x:c>
    </x:row>
    <x:row r="380">
      <x:c r="A380" t="str">
        <x:v>GOV-0376</x:v>
      </x:c>
      <x:c r="B380" s="1" t="d">
        <x:v>2026-06-13T00:00:00.000Z</x:v>
      </x:c>
      <x:c r="C380" s="1"/>
      <x:c r="D380" t="str">
        <x:v>Supplier</x:v>
      </x:c>
      <x:c r="E380" t="str">
        <x:v>Medium</x:v>
      </x:c>
      <x:c r="F380" t="str">
        <x:v>Procurement data</x:v>
      </x:c>
      <x:c r="G380" t="str">
        <x:v>Open</x:v>
      </x:c>
      <x:c r="H380" t="n">
        <x:v>7</x:v>
      </x:c>
      <x:c r="I380" t="n">
        <x:v>17</x:v>
      </x:c>
      <x:c r="J380" t="n">
        <x:v>0</x:v>
      </x:c>
      <x:c r="K380" t="n">
        <x:v>0</x:v>
      </x:c>
      <x:c r="L380" t="n">
        <x:v>1</x:v>
      </x:c>
    </x:row>
    <x:row r="381">
      <x:c r="A381" t="str">
        <x:v>GOV-0377</x:v>
      </x:c>
      <x:c r="B381" s="1" t="d">
        <x:v>2026-06-20T00:00:00.000Z</x:v>
      </x:c>
      <x:c r="C381" s="1"/>
      <x:c r="D381" t="str">
        <x:v>Product</x:v>
      </x:c>
      <x:c r="E381" t="str">
        <x:v>Low</x:v>
      </x:c>
      <x:c r="F381" t="str">
        <x:v>Product ops</x:v>
      </x:c>
      <x:c r="G381" t="str">
        <x:v>Open</x:v>
      </x:c>
      <x:c r="H381" t="n">
        <x:v>14</x:v>
      </x:c>
      <x:c r="I381" t="n">
        <x:v>10</x:v>
      </x:c>
      <x:c r="J381" t="n">
        <x:v>0</x:v>
      </x:c>
      <x:c r="K381" t="n">
        <x:v>0</x:v>
      </x:c>
      <x:c r="L381" t="n">
        <x:v>0</x:v>
      </x:c>
    </x:row>
    <x:row r="382">
      <x:c r="A382" t="str">
        <x:v>GOV-0378</x:v>
      </x:c>
      <x:c r="B382" s="1" t="d">
        <x:v>2026-05-07T00:00:00.000Z</x:v>
      </x:c>
      <x:c r="C382" s="1" t="d">
        <x:v>2026-05-15T00:00:00.000Z</x:v>
      </x:c>
      <x:c r="D382" t="str">
        <x:v>Product</x:v>
      </x:c>
      <x:c r="E382" t="str">
        <x:v>High</x:v>
      </x:c>
      <x:c r="F382" t="str">
        <x:v>Product ops</x:v>
      </x:c>
      <x:c r="G382" t="str">
        <x:v>Closed</x:v>
      </x:c>
      <x:c r="H382" t="n">
        <x:v>3</x:v>
      </x:c>
      <x:c r="I382" t="n">
        <x:v>8</x:v>
      </x:c>
      <x:c r="J382" t="n">
        <x:v>1</x:v>
      </x:c>
      <x:c r="K382" t="n">
        <x:v>0</x:v>
      </x:c>
      <x:c r="L382" t="n">
        <x:v>0</x:v>
      </x:c>
    </x:row>
    <x:row r="383">
      <x:c r="A383" t="str">
        <x:v>GOV-0379</x:v>
      </x:c>
      <x:c r="B383" s="1" t="d">
        <x:v>2026-01-14T00:00:00.000Z</x:v>
      </x:c>
      <x:c r="C383" s="1" t="d">
        <x:v>2026-02-01T00:00:00.000Z</x:v>
      </x:c>
      <x:c r="D383" t="str">
        <x:v>Product</x:v>
      </x:c>
      <x:c r="E383" t="str">
        <x:v>Medium</x:v>
      </x:c>
      <x:c r="F383" t="str">
        <x:v>Product ops</x:v>
      </x:c>
      <x:c r="G383" t="str">
        <x:v>Closed</x:v>
      </x:c>
      <x:c r="H383" t="n">
        <x:v>7</x:v>
      </x:c>
      <x:c r="I383" t="n">
        <x:v>18</x:v>
      </x:c>
      <x:c r="J383" t="n">
        <x:v>1</x:v>
      </x:c>
      <x:c r="K383" t="n">
        <x:v>0</x:v>
      </x:c>
      <x:c r="L383" t="n">
        <x:v>0</x:v>
      </x:c>
    </x:row>
    <x:row r="384">
      <x:c r="A384" t="str">
        <x:v>GOV-0380</x:v>
      </x:c>
      <x:c r="B384" s="1" t="d">
        <x:v>2026-02-05T00:00:00.000Z</x:v>
      </x:c>
      <x:c r="C384" s="1" t="d">
        <x:v>2026-02-19T00:00:00.000Z</x:v>
      </x:c>
      <x:c r="D384" t="str">
        <x:v>Product</x:v>
      </x:c>
      <x:c r="E384" t="str">
        <x:v>Low</x:v>
      </x:c>
      <x:c r="F384" t="str">
        <x:v>Product ops</x:v>
      </x:c>
      <x:c r="G384" t="str">
        <x:v>Closed</x:v>
      </x:c>
      <x:c r="H384" t="n">
        <x:v>14</x:v>
      </x:c>
      <x:c r="I384" t="n">
        <x:v>14</x:v>
      </x:c>
      <x:c r="J384" t="n">
        <x:v>1</x:v>
      </x:c>
      <x:c r="K384" t="n">
        <x:v>1</x:v>
      </x:c>
      <x:c r="L384" t="n">
        <x:v>0</x:v>
      </x:c>
    </x:row>
    <x:row r="385">
      <x:c r="A385" t="str">
        <x:v>GOV-0381</x:v>
      </x:c>
      <x:c r="B385" s="1" t="d">
        <x:v>2026-06-01T00:00:00.000Z</x:v>
      </x:c>
      <x:c r="C385" s="1" t="d">
        <x:v>2026-06-09T00:00:00.000Z</x:v>
      </x:c>
      <x:c r="D385" t="str">
        <x:v>Supplier</x:v>
      </x:c>
      <x:c r="E385" t="str">
        <x:v>High</x:v>
      </x:c>
      <x:c r="F385" t="str">
        <x:v>Procurement data</x:v>
      </x:c>
      <x:c r="G385" t="str">
        <x:v>Closed</x:v>
      </x:c>
      <x:c r="H385" t="n">
        <x:v>3</x:v>
      </x:c>
      <x:c r="I385" t="n">
        <x:v>8</x:v>
      </x:c>
      <x:c r="J385" t="n">
        <x:v>1</x:v>
      </x:c>
      <x:c r="K385" t="n">
        <x:v>0</x:v>
      </x:c>
      <x:c r="L385" t="n">
        <x:v>0</x:v>
      </x:c>
    </x:row>
    <x:row r="386">
      <x:c r="A386" t="str">
        <x:v>GOV-0382</x:v>
      </x:c>
      <x:c r="B386" s="1" t="d">
        <x:v>2026-05-08T00:00:00.000Z</x:v>
      </x:c>
      <x:c r="C386" s="1"/>
      <x:c r="D386" t="str">
        <x:v>Supplier</x:v>
      </x:c>
      <x:c r="E386" t="str">
        <x:v>Low</x:v>
      </x:c>
      <x:c r="F386" t="str">
        <x:v>Procurement data</x:v>
      </x:c>
      <x:c r="G386" t="str">
        <x:v>Open</x:v>
      </x:c>
      <x:c r="H386" t="n">
        <x:v>14</x:v>
      </x:c>
      <x:c r="I386" t="n">
        <x:v>53</x:v>
      </x:c>
      <x:c r="J386" t="n">
        <x:v>0</x:v>
      </x:c>
      <x:c r="K386" t="n">
        <x:v>0</x:v>
      </x:c>
      <x:c r="L386" t="n">
        <x:v>1</x:v>
      </x:c>
    </x:row>
    <x:row r="387">
      <x:c r="A387" t="str">
        <x:v>GOV-0383</x:v>
      </x:c>
      <x:c r="B387" s="1" t="d">
        <x:v>2026-03-17T00:00:00.000Z</x:v>
      </x:c>
      <x:c r="C387" s="1" t="d">
        <x:v>2026-04-01T00:00:00.000Z</x:v>
      </x:c>
      <x:c r="D387" t="str">
        <x:v>Finance</x:v>
      </x:c>
      <x:c r="E387" t="str">
        <x:v>Medium</x:v>
      </x:c>
      <x:c r="F387" t="str">
        <x:v>Finance data</x:v>
      </x:c>
      <x:c r="G387" t="str">
        <x:v>Closed</x:v>
      </x:c>
      <x:c r="H387" t="n">
        <x:v>7</x:v>
      </x:c>
      <x:c r="I387" t="n">
        <x:v>15</x:v>
      </x:c>
      <x:c r="J387" t="n">
        <x:v>1</x:v>
      </x:c>
      <x:c r="K387" t="n">
        <x:v>0</x:v>
      </x:c>
      <x:c r="L387" t="n">
        <x:v>0</x:v>
      </x:c>
    </x:row>
    <x:row r="388">
      <x:c r="A388" t="str">
        <x:v>GOV-0384</x:v>
      </x:c>
      <x:c r="B388" s="1" t="d">
        <x:v>2026-03-16T00:00:00.000Z</x:v>
      </x:c>
      <x:c r="C388" s="1" t="d">
        <x:v>2026-04-03T00:00:00.000Z</x:v>
      </x:c>
      <x:c r="D388" t="str">
        <x:v>Customer</x:v>
      </x:c>
      <x:c r="E388" t="str">
        <x:v>High</x:v>
      </x:c>
      <x:c r="F388" t="str">
        <x:v>CRM stewardship</x:v>
      </x:c>
      <x:c r="G388" t="str">
        <x:v>Closed</x:v>
      </x:c>
      <x:c r="H388" t="n">
        <x:v>3</x:v>
      </x:c>
      <x:c r="I388" t="n">
        <x:v>18</x:v>
      </x:c>
      <x:c r="J388" t="n">
        <x:v>1</x:v>
      </x:c>
      <x:c r="K388" t="n">
        <x:v>0</x:v>
      </x:c>
      <x:c r="L388" t="n">
        <x:v>0</x:v>
      </x:c>
    </x:row>
    <x:row r="389">
      <x:c r="A389" t="str">
        <x:v>GOV-0385</x:v>
      </x:c>
      <x:c r="B389" s="1" t="d">
        <x:v>2026-03-20T00:00:00.000Z</x:v>
      </x:c>
      <x:c r="C389" s="1"/>
      <x:c r="D389" t="str">
        <x:v>Customer</x:v>
      </x:c>
      <x:c r="E389" t="str">
        <x:v>High</x:v>
      </x:c>
      <x:c r="F389" t="str">
        <x:v>CRM stewardship</x:v>
      </x:c>
      <x:c r="G389" t="str">
        <x:v>Open</x:v>
      </x:c>
      <x:c r="H389" t="n">
        <x:v>3</x:v>
      </x:c>
      <x:c r="I389" t="n">
        <x:v>102</x:v>
      </x:c>
      <x:c r="J389" t="n">
        <x:v>0</x:v>
      </x:c>
      <x:c r="K389" t="n">
        <x:v>0</x:v>
      </x:c>
      <x:c r="L389" t="n">
        <x:v>1</x:v>
      </x:c>
    </x:row>
    <x:row r="390">
      <x:c r="A390" t="str">
        <x:v>GOV-0386</x:v>
      </x:c>
      <x:c r="B390" s="1" t="d">
        <x:v>2026-02-07T00:00:00.000Z</x:v>
      </x:c>
      <x:c r="C390" s="1" t="d">
        <x:v>2026-02-18T00:00:00.000Z</x:v>
      </x:c>
      <x:c r="D390" t="str">
        <x:v>Customer</x:v>
      </x:c>
      <x:c r="E390" t="str">
        <x:v>Low</x:v>
      </x:c>
      <x:c r="F390" t="str">
        <x:v>CRM stewardship</x:v>
      </x:c>
      <x:c r="G390" t="str">
        <x:v>Closed</x:v>
      </x:c>
      <x:c r="H390" t="n">
        <x:v>14</x:v>
      </x:c>
      <x:c r="I390" t="n">
        <x:v>11</x:v>
      </x:c>
      <x:c r="J390" t="n">
        <x:v>1</x:v>
      </x:c>
      <x:c r="K390" t="n">
        <x:v>1</x:v>
      </x:c>
      <x:c r="L390" t="n">
        <x:v>0</x:v>
      </x:c>
    </x:row>
    <x:row r="391">
      <x:c r="A391" t="str">
        <x:v>GOV-0387</x:v>
      </x:c>
      <x:c r="B391" s="1" t="d">
        <x:v>2026-05-16T00:00:00.000Z</x:v>
      </x:c>
      <x:c r="C391" s="1" t="d">
        <x:v>2026-05-17T00:00:00.000Z</x:v>
      </x:c>
      <x:c r="D391" t="str">
        <x:v>Product</x:v>
      </x:c>
      <x:c r="E391" t="str">
        <x:v>Medium</x:v>
      </x:c>
      <x:c r="F391" t="str">
        <x:v>Product ops</x:v>
      </x:c>
      <x:c r="G391" t="str">
        <x:v>Closed</x:v>
      </x:c>
      <x:c r="H391" t="n">
        <x:v>7</x:v>
      </x:c>
      <x:c r="I391" t="n">
        <x:v>1</x:v>
      </x:c>
      <x:c r="J391" t="n">
        <x:v>1</x:v>
      </x:c>
      <x:c r="K391" t="n">
        <x:v>1</x:v>
      </x:c>
      <x:c r="L391" t="n">
        <x:v>0</x:v>
      </x:c>
    </x:row>
    <x:row r="392">
      <x:c r="A392" t="str">
        <x:v>GOV-0388</x:v>
      </x:c>
      <x:c r="B392" s="1" t="d">
        <x:v>2026-01-31T00:00:00.000Z</x:v>
      </x:c>
      <x:c r="C392" s="1" t="d">
        <x:v>2026-02-19T00:00:00.000Z</x:v>
      </x:c>
      <x:c r="D392" t="str">
        <x:v>Supplier</x:v>
      </x:c>
      <x:c r="E392" t="str">
        <x:v>Low</x:v>
      </x:c>
      <x:c r="F392" t="str">
        <x:v>Procurement data</x:v>
      </x:c>
      <x:c r="G392" t="str">
        <x:v>Closed</x:v>
      </x:c>
      <x:c r="H392" t="n">
        <x:v>14</x:v>
      </x:c>
      <x:c r="I392" t="n">
        <x:v>19</x:v>
      </x:c>
      <x:c r="J392" t="n">
        <x:v>1</x:v>
      </x:c>
      <x:c r="K392" t="n">
        <x:v>0</x:v>
      </x:c>
      <x:c r="L392" t="n">
        <x:v>0</x:v>
      </x:c>
    </x:row>
    <x:row r="393">
      <x:c r="A393" t="str">
        <x:v>GOV-0389</x:v>
      </x:c>
      <x:c r="B393" s="1" t="d">
        <x:v>2026-05-13T00:00:00.000Z</x:v>
      </x:c>
      <x:c r="C393" s="1" t="d">
        <x:v>2026-05-19T00:00:00.000Z</x:v>
      </x:c>
      <x:c r="D393" t="str">
        <x:v>Supplier</x:v>
      </x:c>
      <x:c r="E393" t="str">
        <x:v>Medium</x:v>
      </x:c>
      <x:c r="F393" t="str">
        <x:v>Procurement data</x:v>
      </x:c>
      <x:c r="G393" t="str">
        <x:v>Closed</x:v>
      </x:c>
      <x:c r="H393" t="n">
        <x:v>7</x:v>
      </x:c>
      <x:c r="I393" t="n">
        <x:v>6</x:v>
      </x:c>
      <x:c r="J393" t="n">
        <x:v>1</x:v>
      </x:c>
      <x:c r="K393" t="n">
        <x:v>1</x:v>
      </x:c>
      <x:c r="L393" t="n">
        <x:v>0</x:v>
      </x:c>
    </x:row>
    <x:row r="394">
      <x:c r="A394" t="str">
        <x:v>GOV-0390</x:v>
      </x:c>
      <x:c r="B394" s="1" t="d">
        <x:v>2026-03-15T00:00:00.000Z</x:v>
      </x:c>
      <x:c r="C394" s="1" t="d">
        <x:v>2026-03-31T00:00:00.000Z</x:v>
      </x:c>
      <x:c r="D394" t="str">
        <x:v>Supplier</x:v>
      </x:c>
      <x:c r="E394" t="str">
        <x:v>Low</x:v>
      </x:c>
      <x:c r="F394" t="str">
        <x:v>Procurement data</x:v>
      </x:c>
      <x:c r="G394" t="str">
        <x:v>Closed</x:v>
      </x:c>
      <x:c r="H394" t="n">
        <x:v>14</x:v>
      </x:c>
      <x:c r="I394" t="n">
        <x:v>16</x:v>
      </x:c>
      <x:c r="J394" t="n">
        <x:v>1</x:v>
      </x:c>
      <x:c r="K394" t="n">
        <x:v>0</x:v>
      </x:c>
      <x:c r="L394" t="n">
        <x:v>0</x:v>
      </x:c>
    </x:row>
    <x:row r="395">
      <x:c r="A395" t="str">
        <x:v>GOV-0391</x:v>
      </x:c>
      <x:c r="B395" s="1" t="d">
        <x:v>2026-05-07T00:00:00.000Z</x:v>
      </x:c>
      <x:c r="C395" s="1" t="d">
        <x:v>2026-05-23T00:00:00.000Z</x:v>
      </x:c>
      <x:c r="D395" t="str">
        <x:v>Finance</x:v>
      </x:c>
      <x:c r="E395" t="str">
        <x:v>Low</x:v>
      </x:c>
      <x:c r="F395" t="str">
        <x:v>Finance data</x:v>
      </x:c>
      <x:c r="G395" t="str">
        <x:v>Closed</x:v>
      </x:c>
      <x:c r="H395" t="n">
        <x:v>14</x:v>
      </x:c>
      <x:c r="I395" t="n">
        <x:v>16</x:v>
      </x:c>
      <x:c r="J395" t="n">
        <x:v>1</x:v>
      </x:c>
      <x:c r="K395" t="n">
        <x:v>0</x:v>
      </x:c>
      <x:c r="L395" t="n">
        <x:v>0</x:v>
      </x:c>
    </x:row>
    <x:row r="396">
      <x:c r="A396" t="str">
        <x:v>GOV-0392</x:v>
      </x:c>
      <x:c r="B396" s="1" t="d">
        <x:v>2026-05-30T00:00:00.000Z</x:v>
      </x:c>
      <x:c r="C396" s="1" t="d">
        <x:v>2026-06-19T00:00:00.000Z</x:v>
      </x:c>
      <x:c r="D396" t="str">
        <x:v>Finance</x:v>
      </x:c>
      <x:c r="E396" t="str">
        <x:v>Medium</x:v>
      </x:c>
      <x:c r="F396" t="str">
        <x:v>Finance data</x:v>
      </x:c>
      <x:c r="G396" t="str">
        <x:v>Closed</x:v>
      </x:c>
      <x:c r="H396" t="n">
        <x:v>7</x:v>
      </x:c>
      <x:c r="I396" t="n">
        <x:v>20</x:v>
      </x:c>
      <x:c r="J396" t="n">
        <x:v>1</x:v>
      </x:c>
      <x:c r="K396" t="n">
        <x:v>0</x:v>
      </x:c>
      <x:c r="L396" t="n">
        <x:v>0</x:v>
      </x:c>
    </x:row>
    <x:row r="397">
      <x:c r="A397" t="str">
        <x:v>GOV-0393</x:v>
      </x:c>
      <x:c r="B397" s="1" t="d">
        <x:v>2026-02-21T00:00:00.000Z</x:v>
      </x:c>
      <x:c r="C397" s="1" t="d">
        <x:v>2026-02-25T00:00:00.000Z</x:v>
      </x:c>
      <x:c r="D397" t="str">
        <x:v>Customer</x:v>
      </x:c>
      <x:c r="E397" t="str">
        <x:v>Low</x:v>
      </x:c>
      <x:c r="F397" t="str">
        <x:v>CRM stewardship</x:v>
      </x:c>
      <x:c r="G397" t="str">
        <x:v>Closed</x:v>
      </x:c>
      <x:c r="H397" t="n">
        <x:v>14</x:v>
      </x:c>
      <x:c r="I397" t="n">
        <x:v>4</x:v>
      </x:c>
      <x:c r="J397" t="n">
        <x:v>1</x:v>
      </x:c>
      <x:c r="K397" t="n">
        <x:v>1</x:v>
      </x:c>
      <x:c r="L397" t="n">
        <x:v>0</x:v>
      </x:c>
    </x:row>
    <x:row r="398">
      <x:c r="A398" t="str">
        <x:v>GOV-0394</x:v>
      </x:c>
      <x:c r="B398" s="1" t="d">
        <x:v>2026-06-28T00:00:00.000Z</x:v>
      </x:c>
      <x:c r="C398" s="1"/>
      <x:c r="D398" t="str">
        <x:v>Product</x:v>
      </x:c>
      <x:c r="E398" t="str">
        <x:v>Medium</x:v>
      </x:c>
      <x:c r="F398" t="str">
        <x:v>Product ops</x:v>
      </x:c>
      <x:c r="G398" t="str">
        <x:v>Open</x:v>
      </x:c>
      <x:c r="H398" t="n">
        <x:v>7</x:v>
      </x:c>
      <x:c r="I398" t="n">
        <x:v>2</x:v>
      </x:c>
      <x:c r="J398" t="n">
        <x:v>0</x:v>
      </x:c>
      <x:c r="K398" t="n">
        <x:v>0</x:v>
      </x:c>
      <x:c r="L398" t="n">
        <x:v>0</x:v>
      </x:c>
    </x:row>
    <x:row r="399">
      <x:c r="A399" t="str">
        <x:v>GOV-0395</x:v>
      </x:c>
      <x:c r="B399" s="1" t="d">
        <x:v>2026-02-24T00:00:00.000Z</x:v>
      </x:c>
      <x:c r="C399" s="1" t="d">
        <x:v>2026-03-13T00:00:00.000Z</x:v>
      </x:c>
      <x:c r="D399" t="str">
        <x:v>Supplier</x:v>
      </x:c>
      <x:c r="E399" t="str">
        <x:v>Medium</x:v>
      </x:c>
      <x:c r="F399" t="str">
        <x:v>Procurement data</x:v>
      </x:c>
      <x:c r="G399" t="str">
        <x:v>Closed</x:v>
      </x:c>
      <x:c r="H399" t="n">
        <x:v>7</x:v>
      </x:c>
      <x:c r="I399" t="n">
        <x:v>17</x:v>
      </x:c>
      <x:c r="J399" t="n">
        <x:v>1</x:v>
      </x:c>
      <x:c r="K399" t="n">
        <x:v>0</x:v>
      </x:c>
      <x:c r="L399" t="n">
        <x:v>0</x:v>
      </x:c>
    </x:row>
    <x:row r="400">
      <x:c r="A400" t="str">
        <x:v>GOV-0396</x:v>
      </x:c>
      <x:c r="B400" s="1" t="d">
        <x:v>2026-05-30T00:00:00.000Z</x:v>
      </x:c>
      <x:c r="C400" s="1" t="d">
        <x:v>2026-06-03T00:00:00.000Z</x:v>
      </x:c>
      <x:c r="D400" t="str">
        <x:v>Product</x:v>
      </x:c>
      <x:c r="E400" t="str">
        <x:v>Medium</x:v>
      </x:c>
      <x:c r="F400" t="str">
        <x:v>Product ops</x:v>
      </x:c>
      <x:c r="G400" t="str">
        <x:v>Closed</x:v>
      </x:c>
      <x:c r="H400" t="n">
        <x:v>7</x:v>
      </x:c>
      <x:c r="I400" t="n">
        <x:v>4</x:v>
      </x:c>
      <x:c r="J400" t="n">
        <x:v>1</x:v>
      </x:c>
      <x:c r="K400" t="n">
        <x:v>1</x:v>
      </x:c>
      <x:c r="L400" t="n">
        <x:v>0</x:v>
      </x:c>
    </x:row>
    <x:row r="401">
      <x:c r="A401" t="str">
        <x:v>GOV-0397</x:v>
      </x:c>
      <x:c r="B401" s="1" t="d">
        <x:v>2026-02-11T00:00:00.000Z</x:v>
      </x:c>
      <x:c r="C401" s="1" t="d">
        <x:v>2026-02-16T00:00:00.000Z</x:v>
      </x:c>
      <x:c r="D401" t="str">
        <x:v>Product</x:v>
      </x:c>
      <x:c r="E401" t="str">
        <x:v>Low</x:v>
      </x:c>
      <x:c r="F401" t="str">
        <x:v>Product ops</x:v>
      </x:c>
      <x:c r="G401" t="str">
        <x:v>Closed</x:v>
      </x:c>
      <x:c r="H401" t="n">
        <x:v>14</x:v>
      </x:c>
      <x:c r="I401" t="n">
        <x:v>5</x:v>
      </x:c>
      <x:c r="J401" t="n">
        <x:v>1</x:v>
      </x:c>
      <x:c r="K401" t="n">
        <x:v>1</x:v>
      </x:c>
      <x:c r="L401" t="n">
        <x:v>0</x:v>
      </x:c>
    </x:row>
    <x:row r="402">
      <x:c r="A402" t="str">
        <x:v>GOV-0398</x:v>
      </x:c>
      <x:c r="B402" s="1" t="d">
        <x:v>2026-05-04T00:00:00.000Z</x:v>
      </x:c>
      <x:c r="C402" s="1" t="d">
        <x:v>2026-05-20T00:00:00.000Z</x:v>
      </x:c>
      <x:c r="D402" t="str">
        <x:v>Finance</x:v>
      </x:c>
      <x:c r="E402" t="str">
        <x:v>Medium</x:v>
      </x:c>
      <x:c r="F402" t="str">
        <x:v>Finance data</x:v>
      </x:c>
      <x:c r="G402" t="str">
        <x:v>Closed</x:v>
      </x:c>
      <x:c r="H402" t="n">
        <x:v>7</x:v>
      </x:c>
      <x:c r="I402" t="n">
        <x:v>16</x:v>
      </x:c>
      <x:c r="J402" t="n">
        <x:v>1</x:v>
      </x:c>
      <x:c r="K402" t="n">
        <x:v>0</x:v>
      </x:c>
      <x:c r="L402" t="n">
        <x:v>0</x:v>
      </x:c>
    </x:row>
    <x:row r="403">
      <x:c r="A403" t="str">
        <x:v>GOV-0399</x:v>
      </x:c>
      <x:c r="B403" s="1" t="d">
        <x:v>2026-06-06T00:00:00.000Z</x:v>
      </x:c>
      <x:c r="C403" s="1"/>
      <x:c r="D403" t="str">
        <x:v>Product</x:v>
      </x:c>
      <x:c r="E403" t="str">
        <x:v>Medium</x:v>
      </x:c>
      <x:c r="F403" t="str">
        <x:v>Product ops</x:v>
      </x:c>
      <x:c r="G403" t="str">
        <x:v>Open</x:v>
      </x:c>
      <x:c r="H403" t="n">
        <x:v>7</x:v>
      </x:c>
      <x:c r="I403" t="n">
        <x:v>24</x:v>
      </x:c>
      <x:c r="J403" t="n">
        <x:v>0</x:v>
      </x:c>
      <x:c r="K403" t="n">
        <x:v>0</x:v>
      </x:c>
      <x:c r="L403" t="n">
        <x:v>1</x:v>
      </x:c>
    </x:row>
    <x:row r="404">
      <x:c r="A404" t="str">
        <x:v>GOV-0400</x:v>
      </x:c>
      <x:c r="B404" s="1" t="d">
        <x:v>2026-01-28T00:00:00.000Z</x:v>
      </x:c>
      <x:c r="C404" s="1" t="d">
        <x:v>2026-02-13T00:00:00.000Z</x:v>
      </x:c>
      <x:c r="D404" t="str">
        <x:v>Supplier</x:v>
      </x:c>
      <x:c r="E404" t="str">
        <x:v>Medium</x:v>
      </x:c>
      <x:c r="F404" t="str">
        <x:v>Procurement data</x:v>
      </x:c>
      <x:c r="G404" t="str">
        <x:v>Closed</x:v>
      </x:c>
      <x:c r="H404" t="n">
        <x:v>7</x:v>
      </x:c>
      <x:c r="I404" t="n">
        <x:v>16</x:v>
      </x:c>
      <x:c r="J404" t="n">
        <x:v>1</x:v>
      </x:c>
      <x:c r="K404" t="n">
        <x:v>0</x:v>
      </x:c>
      <x:c r="L404" t="n">
        <x:v>0</x:v>
      </x:c>
    </x:row>
    <x:row r="405">
      <x:c r="A405" t="str">
        <x:v>GOV-0401</x:v>
      </x:c>
      <x:c r="B405" s="1" t="d">
        <x:v>2026-03-03T00:00:00.000Z</x:v>
      </x:c>
      <x:c r="C405" s="1" t="d">
        <x:v>2026-03-11T00:00:00.000Z</x:v>
      </x:c>
      <x:c r="D405" t="str">
        <x:v>Customer</x:v>
      </x:c>
      <x:c r="E405" t="str">
        <x:v>Low</x:v>
      </x:c>
      <x:c r="F405" t="str">
        <x:v>CRM stewardship</x:v>
      </x:c>
      <x:c r="G405" t="str">
        <x:v>Closed</x:v>
      </x:c>
      <x:c r="H405" t="n">
        <x:v>14</x:v>
      </x:c>
      <x:c r="I405" t="n">
        <x:v>8</x:v>
      </x:c>
      <x:c r="J405" t="n">
        <x:v>1</x:v>
      </x:c>
      <x:c r="K405" t="n">
        <x:v>1</x:v>
      </x:c>
      <x:c r="L405" t="n">
        <x:v>0</x:v>
      </x:c>
    </x:row>
    <x:row r="406">
      <x:c r="A406" t="str">
        <x:v>GOV-0402</x:v>
      </x:c>
      <x:c r="B406" s="1" t="d">
        <x:v>2026-03-09T00:00:00.000Z</x:v>
      </x:c>
      <x:c r="C406" s="1" t="d">
        <x:v>2026-03-22T00:00:00.000Z</x:v>
      </x:c>
      <x:c r="D406" t="str">
        <x:v>Customer</x:v>
      </x:c>
      <x:c r="E406" t="str">
        <x:v>Medium</x:v>
      </x:c>
      <x:c r="F406" t="str">
        <x:v>CRM stewardship</x:v>
      </x:c>
      <x:c r="G406" t="str">
        <x:v>Closed</x:v>
      </x:c>
      <x:c r="H406" t="n">
        <x:v>7</x:v>
      </x:c>
      <x:c r="I406" t="n">
        <x:v>13</x:v>
      </x:c>
      <x:c r="J406" t="n">
        <x:v>1</x:v>
      </x:c>
      <x:c r="K406" t="n">
        <x:v>0</x:v>
      </x:c>
      <x:c r="L406" t="n">
        <x:v>0</x:v>
      </x:c>
    </x:row>
    <x:row r="407">
      <x:c r="A407" t="str">
        <x:v>GOV-0403</x:v>
      </x:c>
      <x:c r="B407" s="1" t="d">
        <x:v>2026-01-10T00:00:00.000Z</x:v>
      </x:c>
      <x:c r="C407" s="1" t="d">
        <x:v>2026-01-29T00:00:00.000Z</x:v>
      </x:c>
      <x:c r="D407" t="str">
        <x:v>Supplier</x:v>
      </x:c>
      <x:c r="E407" t="str">
        <x:v>High</x:v>
      </x:c>
      <x:c r="F407" t="str">
        <x:v>Procurement data</x:v>
      </x:c>
      <x:c r="G407" t="str">
        <x:v>Closed</x:v>
      </x:c>
      <x:c r="H407" t="n">
        <x:v>3</x:v>
      </x:c>
      <x:c r="I407" t="n">
        <x:v>19</x:v>
      </x:c>
      <x:c r="J407" t="n">
        <x:v>1</x:v>
      </x:c>
      <x:c r="K407" t="n">
        <x:v>0</x:v>
      </x:c>
      <x:c r="L407" t="n">
        <x:v>0</x:v>
      </x:c>
    </x:row>
    <x:row r="408">
      <x:c r="A408" t="str">
        <x:v>GOV-0404</x:v>
      </x:c>
      <x:c r="B408" s="1" t="d">
        <x:v>2026-01-04T00:00:00.000Z</x:v>
      </x:c>
      <x:c r="C408" s="1" t="d">
        <x:v>2026-01-23T00:00:00.000Z</x:v>
      </x:c>
      <x:c r="D408" t="str">
        <x:v>Finance</x:v>
      </x:c>
      <x:c r="E408" t="str">
        <x:v>Medium</x:v>
      </x:c>
      <x:c r="F408" t="str">
        <x:v>Finance data</x:v>
      </x:c>
      <x:c r="G408" t="str">
        <x:v>Closed</x:v>
      </x:c>
      <x:c r="H408" t="n">
        <x:v>7</x:v>
      </x:c>
      <x:c r="I408" t="n">
        <x:v>19</x:v>
      </x:c>
      <x:c r="J408" t="n">
        <x:v>1</x:v>
      </x:c>
      <x:c r="K408" t="n">
        <x:v>0</x:v>
      </x:c>
      <x:c r="L408" t="n">
        <x:v>0</x:v>
      </x:c>
    </x:row>
    <x:row r="409">
      <x:c r="A409" t="str">
        <x:v>GOV-0405</x:v>
      </x:c>
      <x:c r="B409" s="1" t="d">
        <x:v>2026-04-28T00:00:00.000Z</x:v>
      </x:c>
      <x:c r="C409" s="1"/>
      <x:c r="D409" t="str">
        <x:v>Supplier</x:v>
      </x:c>
      <x:c r="E409" t="str">
        <x:v>Medium</x:v>
      </x:c>
      <x:c r="F409" t="str">
        <x:v>Procurement data</x:v>
      </x:c>
      <x:c r="G409" t="str">
        <x:v>Open</x:v>
      </x:c>
      <x:c r="H409" t="n">
        <x:v>7</x:v>
      </x:c>
      <x:c r="I409" t="n">
        <x:v>63</x:v>
      </x:c>
      <x:c r="J409" t="n">
        <x:v>0</x:v>
      </x:c>
      <x:c r="K409" t="n">
        <x:v>0</x:v>
      </x:c>
      <x:c r="L409" t="n">
        <x:v>1</x:v>
      </x:c>
    </x:row>
    <x:row r="410">
      <x:c r="A410" t="str">
        <x:v>GOV-0406</x:v>
      </x:c>
      <x:c r="B410" s="1" t="d">
        <x:v>2026-01-31T00:00:00.000Z</x:v>
      </x:c>
      <x:c r="C410" s="1"/>
      <x:c r="D410" t="str">
        <x:v>Customer</x:v>
      </x:c>
      <x:c r="E410" t="str">
        <x:v>High</x:v>
      </x:c>
      <x:c r="F410" t="str">
        <x:v>CRM stewardship</x:v>
      </x:c>
      <x:c r="G410" t="str">
        <x:v>Open</x:v>
      </x:c>
      <x:c r="H410" t="n">
        <x:v>3</x:v>
      </x:c>
      <x:c r="I410" t="n">
        <x:v>150</x:v>
      </x:c>
      <x:c r="J410" t="n">
        <x:v>0</x:v>
      </x:c>
      <x:c r="K410" t="n">
        <x:v>0</x:v>
      </x:c>
      <x:c r="L410" t="n">
        <x:v>1</x:v>
      </x:c>
    </x:row>
    <x:row r="411">
      <x:c r="A411" t="str">
        <x:v>GOV-0407</x:v>
      </x:c>
      <x:c r="B411" s="1" t="d">
        <x:v>2026-01-25T00:00:00.000Z</x:v>
      </x:c>
      <x:c r="C411" s="1" t="d">
        <x:v>2026-02-04T00:00:00.000Z</x:v>
      </x:c>
      <x:c r="D411" t="str">
        <x:v>Finance</x:v>
      </x:c>
      <x:c r="E411" t="str">
        <x:v>Medium</x:v>
      </x:c>
      <x:c r="F411" t="str">
        <x:v>Finance data</x:v>
      </x:c>
      <x:c r="G411" t="str">
        <x:v>Closed</x:v>
      </x:c>
      <x:c r="H411" t="n">
        <x:v>7</x:v>
      </x:c>
      <x:c r="I411" t="n">
        <x:v>10</x:v>
      </x:c>
      <x:c r="J411" t="n">
        <x:v>1</x:v>
      </x:c>
      <x:c r="K411" t="n">
        <x:v>0</x:v>
      </x:c>
      <x:c r="L411" t="n">
        <x:v>0</x:v>
      </x:c>
    </x:row>
    <x:row r="412">
      <x:c r="A412" t="str">
        <x:v>GOV-0408</x:v>
      </x:c>
      <x:c r="B412" s="1" t="d">
        <x:v>2026-04-04T00:00:00.000Z</x:v>
      </x:c>
      <x:c r="C412" s="1" t="d">
        <x:v>2026-04-24T00:00:00.000Z</x:v>
      </x:c>
      <x:c r="D412" t="str">
        <x:v>Supplier</x:v>
      </x:c>
      <x:c r="E412" t="str">
        <x:v>Medium</x:v>
      </x:c>
      <x:c r="F412" t="str">
        <x:v>Procurement data</x:v>
      </x:c>
      <x:c r="G412" t="str">
        <x:v>Closed</x:v>
      </x:c>
      <x:c r="H412" t="n">
        <x:v>7</x:v>
      </x:c>
      <x:c r="I412" t="n">
        <x:v>20</x:v>
      </x:c>
      <x:c r="J412" t="n">
        <x:v>1</x:v>
      </x:c>
      <x:c r="K412" t="n">
        <x:v>0</x:v>
      </x:c>
      <x:c r="L412" t="n">
        <x:v>0</x:v>
      </x:c>
    </x:row>
    <x:row r="413">
      <x:c r="A413" t="str">
        <x:v>GOV-0409</x:v>
      </x:c>
      <x:c r="B413" s="1" t="d">
        <x:v>2026-06-07T00:00:00.000Z</x:v>
      </x:c>
      <x:c r="C413" s="1" t="d">
        <x:v>2026-06-19T00:00:00.000Z</x:v>
      </x:c>
      <x:c r="D413" t="str">
        <x:v>Customer</x:v>
      </x:c>
      <x:c r="E413" t="str">
        <x:v>Low</x:v>
      </x:c>
      <x:c r="F413" t="str">
        <x:v>CRM stewardship</x:v>
      </x:c>
      <x:c r="G413" t="str">
        <x:v>Closed</x:v>
      </x:c>
      <x:c r="H413" t="n">
        <x:v>14</x:v>
      </x:c>
      <x:c r="I413" t="n">
        <x:v>12</x:v>
      </x:c>
      <x:c r="J413" t="n">
        <x:v>1</x:v>
      </x:c>
      <x:c r="K413" t="n">
        <x:v>1</x:v>
      </x:c>
      <x:c r="L413" t="n">
        <x:v>0</x:v>
      </x:c>
    </x:row>
    <x:row r="414">
      <x:c r="A414" t="str">
        <x:v>GOV-0410</x:v>
      </x:c>
      <x:c r="B414" s="1" t="d">
        <x:v>2026-05-03T00:00:00.000Z</x:v>
      </x:c>
      <x:c r="C414" s="1" t="d">
        <x:v>2026-05-13T00:00:00.000Z</x:v>
      </x:c>
      <x:c r="D414" t="str">
        <x:v>Supplier</x:v>
      </x:c>
      <x:c r="E414" t="str">
        <x:v>High</x:v>
      </x:c>
      <x:c r="F414" t="str">
        <x:v>Procurement data</x:v>
      </x:c>
      <x:c r="G414" t="str">
        <x:v>Closed</x:v>
      </x:c>
      <x:c r="H414" t="n">
        <x:v>3</x:v>
      </x:c>
      <x:c r="I414" t="n">
        <x:v>10</x:v>
      </x:c>
      <x:c r="J414" t="n">
        <x:v>1</x:v>
      </x:c>
      <x:c r="K414" t="n">
        <x:v>0</x:v>
      </x:c>
      <x:c r="L414" t="n">
        <x:v>0</x:v>
      </x:c>
    </x:row>
    <x:row r="415">
      <x:c r="A415" t="str">
        <x:v>GOV-0411</x:v>
      </x:c>
      <x:c r="B415" s="1" t="d">
        <x:v>2026-01-07T00:00:00.000Z</x:v>
      </x:c>
      <x:c r="C415" s="1" t="d">
        <x:v>2026-01-19T00:00:00.000Z</x:v>
      </x:c>
      <x:c r="D415" t="str">
        <x:v>Customer</x:v>
      </x:c>
      <x:c r="E415" t="str">
        <x:v>Low</x:v>
      </x:c>
      <x:c r="F415" t="str">
        <x:v>CRM stewardship</x:v>
      </x:c>
      <x:c r="G415" t="str">
        <x:v>Closed</x:v>
      </x:c>
      <x:c r="H415" t="n">
        <x:v>14</x:v>
      </x:c>
      <x:c r="I415" t="n">
        <x:v>12</x:v>
      </x:c>
      <x:c r="J415" t="n">
        <x:v>1</x:v>
      </x:c>
      <x:c r="K415" t="n">
        <x:v>1</x:v>
      </x:c>
      <x:c r="L415" t="n">
        <x:v>0</x:v>
      </x:c>
    </x:row>
    <x:row r="416">
      <x:c r="A416" t="str">
        <x:v>GOV-0412</x:v>
      </x:c>
      <x:c r="B416" s="1" t="d">
        <x:v>2026-04-14T00:00:00.000Z</x:v>
      </x:c>
      <x:c r="C416" s="1"/>
      <x:c r="D416" t="str">
        <x:v>Supplier</x:v>
      </x:c>
      <x:c r="E416" t="str">
        <x:v>High</x:v>
      </x:c>
      <x:c r="F416" t="str">
        <x:v>Procurement data</x:v>
      </x:c>
      <x:c r="G416" t="str">
        <x:v>Open</x:v>
      </x:c>
      <x:c r="H416" t="n">
        <x:v>3</x:v>
      </x:c>
      <x:c r="I416" t="n">
        <x:v>77</x:v>
      </x:c>
      <x:c r="J416" t="n">
        <x:v>0</x:v>
      </x:c>
      <x:c r="K416" t="n">
        <x:v>0</x:v>
      </x:c>
      <x:c r="L416" t="n">
        <x:v>1</x:v>
      </x:c>
    </x:row>
    <x:row r="417">
      <x:c r="A417" t="str">
        <x:v>GOV-0413</x:v>
      </x:c>
      <x:c r="B417" s="1" t="d">
        <x:v>2026-04-10T00:00:00.000Z</x:v>
      </x:c>
      <x:c r="C417" s="1" t="d">
        <x:v>2026-04-16T00:00:00.000Z</x:v>
      </x:c>
      <x:c r="D417" t="str">
        <x:v>Customer</x:v>
      </x:c>
      <x:c r="E417" t="str">
        <x:v>Medium</x:v>
      </x:c>
      <x:c r="F417" t="str">
        <x:v>CRM stewardship</x:v>
      </x:c>
      <x:c r="G417" t="str">
        <x:v>Closed</x:v>
      </x:c>
      <x:c r="H417" t="n">
        <x:v>7</x:v>
      </x:c>
      <x:c r="I417" t="n">
        <x:v>6</x:v>
      </x:c>
      <x:c r="J417" t="n">
        <x:v>1</x:v>
      </x:c>
      <x:c r="K417" t="n">
        <x:v>1</x:v>
      </x:c>
      <x:c r="L417" t="n">
        <x:v>0</x:v>
      </x:c>
    </x:row>
    <x:row r="418">
      <x:c r="A418" t="str">
        <x:v>GOV-0414</x:v>
      </x:c>
      <x:c r="B418" s="1" t="d">
        <x:v>2026-02-07T00:00:00.000Z</x:v>
      </x:c>
      <x:c r="C418" s="1" t="d">
        <x:v>2026-02-25T00:00:00.000Z</x:v>
      </x:c>
      <x:c r="D418" t="str">
        <x:v>Product</x:v>
      </x:c>
      <x:c r="E418" t="str">
        <x:v>Medium</x:v>
      </x:c>
      <x:c r="F418" t="str">
        <x:v>Product ops</x:v>
      </x:c>
      <x:c r="G418" t="str">
        <x:v>Closed</x:v>
      </x:c>
      <x:c r="H418" t="n">
        <x:v>7</x:v>
      </x:c>
      <x:c r="I418" t="n">
        <x:v>18</x:v>
      </x:c>
      <x:c r="J418" t="n">
        <x:v>1</x:v>
      </x:c>
      <x:c r="K418" t="n">
        <x:v>0</x:v>
      </x:c>
      <x:c r="L418" t="n">
        <x:v>0</x:v>
      </x:c>
    </x:row>
    <x:row r="419">
      <x:c r="A419" t="str">
        <x:v>GOV-0415</x:v>
      </x:c>
      <x:c r="B419" s="1" t="d">
        <x:v>2026-01-23T00:00:00.000Z</x:v>
      </x:c>
      <x:c r="C419" s="1" t="d">
        <x:v>2026-01-31T00:00:00.000Z</x:v>
      </x:c>
      <x:c r="D419" t="str">
        <x:v>Finance</x:v>
      </x:c>
      <x:c r="E419" t="str">
        <x:v>Medium</x:v>
      </x:c>
      <x:c r="F419" t="str">
        <x:v>Finance data</x:v>
      </x:c>
      <x:c r="G419" t="str">
        <x:v>Closed</x:v>
      </x:c>
      <x:c r="H419" t="n">
        <x:v>7</x:v>
      </x:c>
      <x:c r="I419" t="n">
        <x:v>8</x:v>
      </x:c>
      <x:c r="J419" t="n">
        <x:v>1</x:v>
      </x:c>
      <x:c r="K419" t="n">
        <x:v>0</x:v>
      </x:c>
      <x:c r="L419" t="n">
        <x:v>0</x:v>
      </x:c>
    </x:row>
    <x:row r="420">
      <x:c r="A420" t="str">
        <x:v>GOV-0416</x:v>
      </x:c>
      <x:c r="B420" s="1" t="d">
        <x:v>2026-01-29T00:00:00.000Z</x:v>
      </x:c>
      <x:c r="C420" s="1" t="d">
        <x:v>2026-02-16T00:00:00.000Z</x:v>
      </x:c>
      <x:c r="D420" t="str">
        <x:v>Supplier</x:v>
      </x:c>
      <x:c r="E420" t="str">
        <x:v>Low</x:v>
      </x:c>
      <x:c r="F420" t="str">
        <x:v>Procurement data</x:v>
      </x:c>
      <x:c r="G420" t="str">
        <x:v>Closed</x:v>
      </x:c>
      <x:c r="H420" t="n">
        <x:v>14</x:v>
      </x:c>
      <x:c r="I420" t="n">
        <x:v>18</x:v>
      </x:c>
      <x:c r="J420" t="n">
        <x:v>1</x:v>
      </x:c>
      <x:c r="K420" t="n">
        <x:v>0</x:v>
      </x:c>
      <x:c r="L420" t="n">
        <x:v>0</x:v>
      </x:c>
    </x:row>
    <x:row r="421">
      <x:c r="A421" t="str">
        <x:v>GOV-0417</x:v>
      </x:c>
      <x:c r="B421" s="1" t="d">
        <x:v>2026-03-09T00:00:00.000Z</x:v>
      </x:c>
      <x:c r="C421" s="1" t="d">
        <x:v>2026-03-29T00:00:00.000Z</x:v>
      </x:c>
      <x:c r="D421" t="str">
        <x:v>Product</x:v>
      </x:c>
      <x:c r="E421" t="str">
        <x:v>High</x:v>
      </x:c>
      <x:c r="F421" t="str">
        <x:v>Product ops</x:v>
      </x:c>
      <x:c r="G421" t="str">
        <x:v>Closed</x:v>
      </x:c>
      <x:c r="H421" t="n">
        <x:v>3</x:v>
      </x:c>
      <x:c r="I421" t="n">
        <x:v>20</x:v>
      </x:c>
      <x:c r="J421" t="n">
        <x:v>1</x:v>
      </x:c>
      <x:c r="K421" t="n">
        <x:v>0</x:v>
      </x:c>
      <x:c r="L421" t="n">
        <x:v>0</x:v>
      </x:c>
    </x:row>
    <x:row r="422">
      <x:c r="A422" t="str">
        <x:v>GOV-0418</x:v>
      </x:c>
      <x:c r="B422" s="1" t="d">
        <x:v>2026-06-27T00:00:00.000Z</x:v>
      </x:c>
      <x:c r="C422" s="1"/>
      <x:c r="D422" t="str">
        <x:v>Supplier</x:v>
      </x:c>
      <x:c r="E422" t="str">
        <x:v>Low</x:v>
      </x:c>
      <x:c r="F422" t="str">
        <x:v>Procurement data</x:v>
      </x:c>
      <x:c r="G422" t="str">
        <x:v>Open</x:v>
      </x:c>
      <x:c r="H422" t="n">
        <x:v>14</x:v>
      </x:c>
      <x:c r="I422" t="n">
        <x:v>3</x:v>
      </x:c>
      <x:c r="J422" t="n">
        <x:v>0</x:v>
      </x:c>
      <x:c r="K422" t="n">
        <x:v>0</x:v>
      </x:c>
      <x:c r="L422" t="n">
        <x:v>0</x:v>
      </x:c>
    </x:row>
    <x:row r="423">
      <x:c r="A423" t="str">
        <x:v>GOV-0419</x:v>
      </x:c>
      <x:c r="B423" s="1" t="d">
        <x:v>2026-02-14T00:00:00.000Z</x:v>
      </x:c>
      <x:c r="C423" s="1"/>
      <x:c r="D423" t="str">
        <x:v>Customer</x:v>
      </x:c>
      <x:c r="E423" t="str">
        <x:v>Medium</x:v>
      </x:c>
      <x:c r="F423" t="str">
        <x:v>CRM stewardship</x:v>
      </x:c>
      <x:c r="G423" t="str">
        <x:v>Open</x:v>
      </x:c>
      <x:c r="H423" t="n">
        <x:v>7</x:v>
      </x:c>
      <x:c r="I423" t="n">
        <x:v>136</x:v>
      </x:c>
      <x:c r="J423" t="n">
        <x:v>0</x:v>
      </x:c>
      <x:c r="K423" t="n">
        <x:v>0</x:v>
      </x:c>
      <x:c r="L423" t="n">
        <x:v>1</x:v>
      </x:c>
    </x:row>
    <x:row r="424">
      <x:c r="A424" t="str">
        <x:v>GOV-0420</x:v>
      </x:c>
      <x:c r="B424" s="1" t="d">
        <x:v>2026-02-15T00:00:00.000Z</x:v>
      </x:c>
      <x:c r="C424" s="1" t="d">
        <x:v>2026-02-19T00:00:00.000Z</x:v>
      </x:c>
      <x:c r="D424" t="str">
        <x:v>Supplier</x:v>
      </x:c>
      <x:c r="E424" t="str">
        <x:v>High</x:v>
      </x:c>
      <x:c r="F424" t="str">
        <x:v>Procurement data</x:v>
      </x:c>
      <x:c r="G424" t="str">
        <x:v>Closed</x:v>
      </x:c>
      <x:c r="H424" t="n">
        <x:v>3</x:v>
      </x:c>
      <x:c r="I424" t="n">
        <x:v>4</x:v>
      </x:c>
      <x:c r="J424" t="n">
        <x:v>1</x:v>
      </x:c>
      <x:c r="K424" t="n">
        <x:v>0</x:v>
      </x:c>
      <x:c r="L424" t="n">
        <x:v>0</x:v>
      </x:c>
    </x:row>
    <x:row r="425">
      <x:c r="A425" t="str">
        <x:v>GOV-0421</x:v>
      </x:c>
      <x:c r="B425" s="1" t="d">
        <x:v>2026-05-31T00:00:00.000Z</x:v>
      </x:c>
      <x:c r="C425" s="1"/>
      <x:c r="D425" t="str">
        <x:v>Customer</x:v>
      </x:c>
      <x:c r="E425" t="str">
        <x:v>Medium</x:v>
      </x:c>
      <x:c r="F425" t="str">
        <x:v>CRM stewardship</x:v>
      </x:c>
      <x:c r="G425" t="str">
        <x:v>Open</x:v>
      </x:c>
      <x:c r="H425" t="n">
        <x:v>7</x:v>
      </x:c>
      <x:c r="I425" t="n">
        <x:v>30</x:v>
      </x:c>
      <x:c r="J425" t="n">
        <x:v>0</x:v>
      </x:c>
      <x:c r="K425" t="n">
        <x:v>0</x:v>
      </x:c>
      <x:c r="L425" t="n">
        <x:v>1</x:v>
      </x:c>
    </x:row>
    <x:row r="426">
      <x:c r="A426" t="str">
        <x:v>GOV-0422</x:v>
      </x:c>
      <x:c r="B426" s="1" t="d">
        <x:v>2026-04-17T00:00:00.000Z</x:v>
      </x:c>
      <x:c r="C426" s="1" t="d">
        <x:v>2026-04-27T00:00:00.000Z</x:v>
      </x:c>
      <x:c r="D426" t="str">
        <x:v>Product</x:v>
      </x:c>
      <x:c r="E426" t="str">
        <x:v>Low</x:v>
      </x:c>
      <x:c r="F426" t="str">
        <x:v>Product ops</x:v>
      </x:c>
      <x:c r="G426" t="str">
        <x:v>Closed</x:v>
      </x:c>
      <x:c r="H426" t="n">
        <x:v>14</x:v>
      </x:c>
      <x:c r="I426" t="n">
        <x:v>10</x:v>
      </x:c>
      <x:c r="J426" t="n">
        <x:v>1</x:v>
      </x:c>
      <x:c r="K426" t="n">
        <x:v>1</x:v>
      </x:c>
      <x:c r="L426" t="n">
        <x:v>0</x:v>
      </x:c>
    </x:row>
    <x:row r="427">
      <x:c r="A427" t="str">
        <x:v>GOV-0423</x:v>
      </x:c>
      <x:c r="B427" s="1" t="d">
        <x:v>2026-06-05T00:00:00.000Z</x:v>
      </x:c>
      <x:c r="C427" s="1" t="d">
        <x:v>2026-06-18T00:00:00.000Z</x:v>
      </x:c>
      <x:c r="D427" t="str">
        <x:v>Finance</x:v>
      </x:c>
      <x:c r="E427" t="str">
        <x:v>Low</x:v>
      </x:c>
      <x:c r="F427" t="str">
        <x:v>Finance data</x:v>
      </x:c>
      <x:c r="G427" t="str">
        <x:v>Closed</x:v>
      </x:c>
      <x:c r="H427" t="n">
        <x:v>14</x:v>
      </x:c>
      <x:c r="I427" t="n">
        <x:v>13</x:v>
      </x:c>
      <x:c r="J427" t="n">
        <x:v>1</x:v>
      </x:c>
      <x:c r="K427" t="n">
        <x:v>1</x:v>
      </x:c>
      <x:c r="L427" t="n">
        <x:v>0</x:v>
      </x:c>
    </x:row>
    <x:row r="428">
      <x:c r="A428" t="str">
        <x:v>GOV-0424</x:v>
      </x:c>
      <x:c r="B428" s="1" t="d">
        <x:v>2026-05-14T00:00:00.000Z</x:v>
      </x:c>
      <x:c r="C428" s="1" t="d">
        <x:v>2026-06-03T00:00:00.000Z</x:v>
      </x:c>
      <x:c r="D428" t="str">
        <x:v>Supplier</x:v>
      </x:c>
      <x:c r="E428" t="str">
        <x:v>Medium</x:v>
      </x:c>
      <x:c r="F428" t="str">
        <x:v>Procurement data</x:v>
      </x:c>
      <x:c r="G428" t="str">
        <x:v>Closed</x:v>
      </x:c>
      <x:c r="H428" t="n">
        <x:v>7</x:v>
      </x:c>
      <x:c r="I428" t="n">
        <x:v>20</x:v>
      </x:c>
      <x:c r="J428" t="n">
        <x:v>1</x:v>
      </x:c>
      <x:c r="K428" t="n">
        <x:v>0</x:v>
      </x:c>
      <x:c r="L428" t="n">
        <x:v>0</x:v>
      </x:c>
    </x:row>
    <x:row r="429">
      <x:c r="A429" t="str">
        <x:v>GOV-0425</x:v>
      </x:c>
      <x:c r="B429" s="1" t="d">
        <x:v>2026-06-15T00:00:00.000Z</x:v>
      </x:c>
      <x:c r="C429" s="1"/>
      <x:c r="D429" t="str">
        <x:v>Product</x:v>
      </x:c>
      <x:c r="E429" t="str">
        <x:v>Low</x:v>
      </x:c>
      <x:c r="F429" t="str">
        <x:v>Product ops</x:v>
      </x:c>
      <x:c r="G429" t="str">
        <x:v>Open</x:v>
      </x:c>
      <x:c r="H429" t="n">
        <x:v>14</x:v>
      </x:c>
      <x:c r="I429" t="n">
        <x:v>15</x:v>
      </x:c>
      <x:c r="J429" t="n">
        <x:v>0</x:v>
      </x:c>
      <x:c r="K429" t="n">
        <x:v>0</x:v>
      </x:c>
      <x:c r="L429" t="n">
        <x:v>1</x:v>
      </x:c>
    </x:row>
    <x:row r="430">
      <x:c r="A430" t="str">
        <x:v>GOV-0426</x:v>
      </x:c>
      <x:c r="B430" s="1" t="d">
        <x:v>2026-03-16T00:00:00.000Z</x:v>
      </x:c>
      <x:c r="C430" s="1" t="d">
        <x:v>2026-04-04T00:00:00.000Z</x:v>
      </x:c>
      <x:c r="D430" t="str">
        <x:v>Customer</x:v>
      </x:c>
      <x:c r="E430" t="str">
        <x:v>High</x:v>
      </x:c>
      <x:c r="F430" t="str">
        <x:v>CRM stewardship</x:v>
      </x:c>
      <x:c r="G430" t="str">
        <x:v>Closed</x:v>
      </x:c>
      <x:c r="H430" t="n">
        <x:v>3</x:v>
      </x:c>
      <x:c r="I430" t="n">
        <x:v>19</x:v>
      </x:c>
      <x:c r="J430" t="n">
        <x:v>1</x:v>
      </x:c>
      <x:c r="K430" t="n">
        <x:v>0</x:v>
      </x:c>
      <x:c r="L430" t="n">
        <x:v>0</x:v>
      </x:c>
    </x:row>
    <x:row r="431">
      <x:c r="A431" t="str">
        <x:v>GOV-0427</x:v>
      </x:c>
      <x:c r="B431" s="1" t="d">
        <x:v>2026-05-29T00:00:00.000Z</x:v>
      </x:c>
      <x:c r="C431" s="1" t="d">
        <x:v>2026-06-19T00:00:00.000Z</x:v>
      </x:c>
      <x:c r="D431" t="str">
        <x:v>Supplier</x:v>
      </x:c>
      <x:c r="E431" t="str">
        <x:v>Medium</x:v>
      </x:c>
      <x:c r="F431" t="str">
        <x:v>Procurement data</x:v>
      </x:c>
      <x:c r="G431" t="str">
        <x:v>Closed</x:v>
      </x:c>
      <x:c r="H431" t="n">
        <x:v>7</x:v>
      </x:c>
      <x:c r="I431" t="n">
        <x:v>21</x:v>
      </x:c>
      <x:c r="J431" t="n">
        <x:v>1</x:v>
      </x:c>
      <x:c r="K431" t="n">
        <x:v>0</x:v>
      </x:c>
      <x:c r="L431" t="n">
        <x:v>0</x:v>
      </x:c>
    </x:row>
    <x:row r="432">
      <x:c r="A432" t="str">
        <x:v>GOV-0428</x:v>
      </x:c>
      <x:c r="B432" s="1" t="d">
        <x:v>2026-01-15T00:00:00.000Z</x:v>
      </x:c>
      <x:c r="C432" s="1" t="d">
        <x:v>2026-02-06T00:00:00.000Z</x:v>
      </x:c>
      <x:c r="D432" t="str">
        <x:v>Supplier</x:v>
      </x:c>
      <x:c r="E432" t="str">
        <x:v>High</x:v>
      </x:c>
      <x:c r="F432" t="str">
        <x:v>Procurement data</x:v>
      </x:c>
      <x:c r="G432" t="str">
        <x:v>Closed</x:v>
      </x:c>
      <x:c r="H432" t="n">
        <x:v>3</x:v>
      </x:c>
      <x:c r="I432" t="n">
        <x:v>22</x:v>
      </x:c>
      <x:c r="J432" t="n">
        <x:v>1</x:v>
      </x:c>
      <x:c r="K432" t="n">
        <x:v>0</x:v>
      </x:c>
      <x:c r="L432" t="n">
        <x:v>0</x:v>
      </x:c>
    </x:row>
    <x:row r="433">
      <x:c r="A433" t="str">
        <x:v>GOV-0429</x:v>
      </x:c>
      <x:c r="B433" s="1" t="d">
        <x:v>2026-01-13T00:00:00.000Z</x:v>
      </x:c>
      <x:c r="C433" s="1" t="d">
        <x:v>2026-01-19T00:00:00.000Z</x:v>
      </x:c>
      <x:c r="D433" t="str">
        <x:v>Product</x:v>
      </x:c>
      <x:c r="E433" t="str">
        <x:v>Low</x:v>
      </x:c>
      <x:c r="F433" t="str">
        <x:v>Product ops</x:v>
      </x:c>
      <x:c r="G433" t="str">
        <x:v>Closed</x:v>
      </x:c>
      <x:c r="H433" t="n">
        <x:v>14</x:v>
      </x:c>
      <x:c r="I433" t="n">
        <x:v>6</x:v>
      </x:c>
      <x:c r="J433" t="n">
        <x:v>1</x:v>
      </x:c>
      <x:c r="K433" t="n">
        <x:v>1</x:v>
      </x:c>
      <x:c r="L433" t="n">
        <x:v>0</x:v>
      </x:c>
    </x:row>
    <x:row r="434">
      <x:c r="A434" t="str">
        <x:v>GOV-0430</x:v>
      </x:c>
      <x:c r="B434" s="1" t="d">
        <x:v>2026-06-07T00:00:00.000Z</x:v>
      </x:c>
      <x:c r="C434" s="1"/>
      <x:c r="D434" t="str">
        <x:v>Supplier</x:v>
      </x:c>
      <x:c r="E434" t="str">
        <x:v>Medium</x:v>
      </x:c>
      <x:c r="F434" t="str">
        <x:v>Procurement data</x:v>
      </x:c>
      <x:c r="G434" t="str">
        <x:v>Open</x:v>
      </x:c>
      <x:c r="H434" t="n">
        <x:v>7</x:v>
      </x:c>
      <x:c r="I434" t="n">
        <x:v>23</x:v>
      </x:c>
      <x:c r="J434" t="n">
        <x:v>0</x:v>
      </x:c>
      <x:c r="K434" t="n">
        <x:v>0</x:v>
      </x:c>
      <x:c r="L434" t="n">
        <x:v>1</x:v>
      </x:c>
    </x:row>
    <x:row r="435">
      <x:c r="A435" t="str">
        <x:v>GOV-0431</x:v>
      </x:c>
      <x:c r="B435" s="1" t="d">
        <x:v>2026-02-02T00:00:00.000Z</x:v>
      </x:c>
      <x:c r="C435" s="1" t="d">
        <x:v>2026-02-21T00:00:00.000Z</x:v>
      </x:c>
      <x:c r="D435" t="str">
        <x:v>Product</x:v>
      </x:c>
      <x:c r="E435" t="str">
        <x:v>Low</x:v>
      </x:c>
      <x:c r="F435" t="str">
        <x:v>Product ops</x:v>
      </x:c>
      <x:c r="G435" t="str">
        <x:v>Closed</x:v>
      </x:c>
      <x:c r="H435" t="n">
        <x:v>14</x:v>
      </x:c>
      <x:c r="I435" t="n">
        <x:v>19</x:v>
      </x:c>
      <x:c r="J435" t="n">
        <x:v>1</x:v>
      </x:c>
      <x:c r="K435" t="n">
        <x:v>0</x:v>
      </x:c>
      <x:c r="L435" t="n">
        <x:v>0</x:v>
      </x:c>
    </x:row>
    <x:row r="436">
      <x:c r="A436" t="str">
        <x:v>GOV-0432</x:v>
      </x:c>
      <x:c r="B436" s="1" t="d">
        <x:v>2026-05-02T00:00:00.000Z</x:v>
      </x:c>
      <x:c r="C436" s="1" t="d">
        <x:v>2026-05-12T00:00:00.000Z</x:v>
      </x:c>
      <x:c r="D436" t="str">
        <x:v>Finance</x:v>
      </x:c>
      <x:c r="E436" t="str">
        <x:v>Medium</x:v>
      </x:c>
      <x:c r="F436" t="str">
        <x:v>Finance data</x:v>
      </x:c>
      <x:c r="G436" t="str">
        <x:v>Closed</x:v>
      </x:c>
      <x:c r="H436" t="n">
        <x:v>7</x:v>
      </x:c>
      <x:c r="I436" t="n">
        <x:v>10</x:v>
      </x:c>
      <x:c r="J436" t="n">
        <x:v>1</x:v>
      </x:c>
      <x:c r="K436" t="n">
        <x:v>0</x:v>
      </x:c>
      <x:c r="L436" t="n">
        <x:v>0</x:v>
      </x:c>
    </x:row>
    <x:row r="437">
      <x:c r="A437" t="str">
        <x:v>GOV-0433</x:v>
      </x:c>
      <x:c r="B437" s="1" t="d">
        <x:v>2026-02-12T00:00:00.000Z</x:v>
      </x:c>
      <x:c r="C437" s="1" t="d">
        <x:v>2026-02-17T00:00:00.000Z</x:v>
      </x:c>
      <x:c r="D437" t="str">
        <x:v>Supplier</x:v>
      </x:c>
      <x:c r="E437" t="str">
        <x:v>High</x:v>
      </x:c>
      <x:c r="F437" t="str">
        <x:v>Procurement data</x:v>
      </x:c>
      <x:c r="G437" t="str">
        <x:v>Closed</x:v>
      </x:c>
      <x:c r="H437" t="n">
        <x:v>3</x:v>
      </x:c>
      <x:c r="I437" t="n">
        <x:v>5</x:v>
      </x:c>
      <x:c r="J437" t="n">
        <x:v>1</x:v>
      </x:c>
      <x:c r="K437" t="n">
        <x:v>0</x:v>
      </x:c>
      <x:c r="L437" t="n">
        <x:v>0</x:v>
      </x:c>
    </x:row>
    <x:row r="438">
      <x:c r="A438" t="str">
        <x:v>GOV-0434</x:v>
      </x:c>
      <x:c r="B438" s="1" t="d">
        <x:v>2026-01-20T00:00:00.000Z</x:v>
      </x:c>
      <x:c r="C438" s="1"/>
      <x:c r="D438" t="str">
        <x:v>Customer</x:v>
      </x:c>
      <x:c r="E438" t="str">
        <x:v>Low</x:v>
      </x:c>
      <x:c r="F438" t="str">
        <x:v>CRM stewardship</x:v>
      </x:c>
      <x:c r="G438" t="str">
        <x:v>Open</x:v>
      </x:c>
      <x:c r="H438" t="n">
        <x:v>14</x:v>
      </x:c>
      <x:c r="I438" t="n">
        <x:v>161</x:v>
      </x:c>
      <x:c r="J438" t="n">
        <x:v>0</x:v>
      </x:c>
      <x:c r="K438" t="n">
        <x:v>0</x:v>
      </x:c>
      <x:c r="L438" t="n">
        <x:v>1</x:v>
      </x:c>
    </x:row>
    <x:row r="439">
      <x:c r="A439" t="str">
        <x:v>GOV-0435</x:v>
      </x:c>
      <x:c r="B439" s="1" t="d">
        <x:v>2026-04-29T00:00:00.000Z</x:v>
      </x:c>
      <x:c r="C439" s="1" t="d">
        <x:v>2026-05-18T00:00:00.000Z</x:v>
      </x:c>
      <x:c r="D439" t="str">
        <x:v>Customer</x:v>
      </x:c>
      <x:c r="E439" t="str">
        <x:v>Low</x:v>
      </x:c>
      <x:c r="F439" t="str">
        <x:v>CRM stewardship</x:v>
      </x:c>
      <x:c r="G439" t="str">
        <x:v>Closed</x:v>
      </x:c>
      <x:c r="H439" t="n">
        <x:v>14</x:v>
      </x:c>
      <x:c r="I439" t="n">
        <x:v>19</x:v>
      </x:c>
      <x:c r="J439" t="n">
        <x:v>1</x:v>
      </x:c>
      <x:c r="K439" t="n">
        <x:v>0</x:v>
      </x:c>
      <x:c r="L439" t="n">
        <x:v>0</x:v>
      </x:c>
    </x:row>
    <x:row r="440">
      <x:c r="A440" t="str">
        <x:v>GOV-0436</x:v>
      </x:c>
      <x:c r="B440" s="1" t="d">
        <x:v>2026-04-15T00:00:00.000Z</x:v>
      </x:c>
      <x:c r="C440" s="1"/>
      <x:c r="D440" t="str">
        <x:v>Customer</x:v>
      </x:c>
      <x:c r="E440" t="str">
        <x:v>Medium</x:v>
      </x:c>
      <x:c r="F440" t="str">
        <x:v>CRM stewardship</x:v>
      </x:c>
      <x:c r="G440" t="str">
        <x:v>Open</x:v>
      </x:c>
      <x:c r="H440" t="n">
        <x:v>7</x:v>
      </x:c>
      <x:c r="I440" t="n">
        <x:v>76</x:v>
      </x:c>
      <x:c r="J440" t="n">
        <x:v>0</x:v>
      </x:c>
      <x:c r="K440" t="n">
        <x:v>0</x:v>
      </x:c>
      <x:c r="L440" t="n">
        <x:v>1</x:v>
      </x:c>
    </x:row>
    <x:row r="441">
      <x:c r="A441" t="str">
        <x:v>GOV-0437</x:v>
      </x:c>
      <x:c r="B441" s="1" t="d">
        <x:v>2026-04-02T00:00:00.000Z</x:v>
      </x:c>
      <x:c r="C441" s="1" t="d">
        <x:v>2026-04-21T00:00:00.000Z</x:v>
      </x:c>
      <x:c r="D441" t="str">
        <x:v>Finance</x:v>
      </x:c>
      <x:c r="E441" t="str">
        <x:v>Medium</x:v>
      </x:c>
      <x:c r="F441" t="str">
        <x:v>Finance data</x:v>
      </x:c>
      <x:c r="G441" t="str">
        <x:v>Closed</x:v>
      </x:c>
      <x:c r="H441" t="n">
        <x:v>7</x:v>
      </x:c>
      <x:c r="I441" t="n">
        <x:v>19</x:v>
      </x:c>
      <x:c r="J441" t="n">
        <x:v>1</x:v>
      </x:c>
      <x:c r="K441" t="n">
        <x:v>0</x:v>
      </x:c>
      <x:c r="L441" t="n">
        <x:v>0</x:v>
      </x:c>
    </x:row>
    <x:row r="442">
      <x:c r="A442" t="str">
        <x:v>GOV-0438</x:v>
      </x:c>
      <x:c r="B442" s="1" t="d">
        <x:v>2026-02-09T00:00:00.000Z</x:v>
      </x:c>
      <x:c r="C442" s="1" t="d">
        <x:v>2026-02-13T00:00:00.000Z</x:v>
      </x:c>
      <x:c r="D442" t="str">
        <x:v>Customer</x:v>
      </x:c>
      <x:c r="E442" t="str">
        <x:v>Medium</x:v>
      </x:c>
      <x:c r="F442" t="str">
        <x:v>CRM stewardship</x:v>
      </x:c>
      <x:c r="G442" t="str">
        <x:v>Closed</x:v>
      </x:c>
      <x:c r="H442" t="n">
        <x:v>7</x:v>
      </x:c>
      <x:c r="I442" t="n">
        <x:v>4</x:v>
      </x:c>
      <x:c r="J442" t="n">
        <x:v>1</x:v>
      </x:c>
      <x:c r="K442" t="n">
        <x:v>1</x:v>
      </x:c>
      <x:c r="L442" t="n">
        <x:v>0</x:v>
      </x:c>
    </x:row>
    <x:row r="443">
      <x:c r="A443" t="str">
        <x:v>GOV-0439</x:v>
      </x:c>
      <x:c r="B443" s="1" t="d">
        <x:v>2026-06-15T00:00:00.000Z</x:v>
      </x:c>
      <x:c r="C443" s="1" t="d">
        <x:v>2026-06-20T00:00:00.000Z</x:v>
      </x:c>
      <x:c r="D443" t="str">
        <x:v>Supplier</x:v>
      </x:c>
      <x:c r="E443" t="str">
        <x:v>Low</x:v>
      </x:c>
      <x:c r="F443" t="str">
        <x:v>Procurement data</x:v>
      </x:c>
      <x:c r="G443" t="str">
        <x:v>Closed</x:v>
      </x:c>
      <x:c r="H443" t="n">
        <x:v>14</x:v>
      </x:c>
      <x:c r="I443" t="n">
        <x:v>5</x:v>
      </x:c>
      <x:c r="J443" t="n">
        <x:v>1</x:v>
      </x:c>
      <x:c r="K443" t="n">
        <x:v>1</x:v>
      </x:c>
      <x:c r="L443" t="n">
        <x:v>0</x:v>
      </x:c>
    </x:row>
    <x:row r="444">
      <x:c r="A444" t="str">
        <x:v>GOV-0440</x:v>
      </x:c>
      <x:c r="B444" s="1" t="d">
        <x:v>2026-01-25T00:00:00.000Z</x:v>
      </x:c>
      <x:c r="C444" s="1" t="d">
        <x:v>2026-02-03T00:00:00.000Z</x:v>
      </x:c>
      <x:c r="D444" t="str">
        <x:v>Supplier</x:v>
      </x:c>
      <x:c r="E444" t="str">
        <x:v>Medium</x:v>
      </x:c>
      <x:c r="F444" t="str">
        <x:v>Procurement data</x:v>
      </x:c>
      <x:c r="G444" t="str">
        <x:v>Closed</x:v>
      </x:c>
      <x:c r="H444" t="n">
        <x:v>7</x:v>
      </x:c>
      <x:c r="I444" t="n">
        <x:v>9</x:v>
      </x:c>
      <x:c r="J444" t="n">
        <x:v>1</x:v>
      </x:c>
      <x:c r="K444" t="n">
        <x:v>0</x:v>
      </x:c>
      <x:c r="L444" t="n">
        <x:v>0</x:v>
      </x:c>
    </x:row>
    <x:row r="445">
      <x:c r="A445" t="str">
        <x:v>GOV-0441</x:v>
      </x:c>
      <x:c r="B445" s="1" t="d">
        <x:v>2026-03-03T00:00:00.000Z</x:v>
      </x:c>
      <x:c r="C445" s="1" t="d">
        <x:v>2026-03-17T00:00:00.000Z</x:v>
      </x:c>
      <x:c r="D445" t="str">
        <x:v>Product</x:v>
      </x:c>
      <x:c r="E445" t="str">
        <x:v>Medium</x:v>
      </x:c>
      <x:c r="F445" t="str">
        <x:v>Product ops</x:v>
      </x:c>
      <x:c r="G445" t="str">
        <x:v>Closed</x:v>
      </x:c>
      <x:c r="H445" t="n">
        <x:v>7</x:v>
      </x:c>
      <x:c r="I445" t="n">
        <x:v>14</x:v>
      </x:c>
      <x:c r="J445" t="n">
        <x:v>1</x:v>
      </x:c>
      <x:c r="K445" t="n">
        <x:v>0</x:v>
      </x:c>
      <x:c r="L445" t="n">
        <x:v>0</x:v>
      </x:c>
    </x:row>
    <x:row r="446">
      <x:c r="A446" t="str">
        <x:v>GOV-0442</x:v>
      </x:c>
      <x:c r="B446" s="1" t="d">
        <x:v>2026-03-09T00:00:00.000Z</x:v>
      </x:c>
      <x:c r="C446" s="1" t="d">
        <x:v>2026-03-30T00:00:00.000Z</x:v>
      </x:c>
      <x:c r="D446" t="str">
        <x:v>Supplier</x:v>
      </x:c>
      <x:c r="E446" t="str">
        <x:v>Medium</x:v>
      </x:c>
      <x:c r="F446" t="str">
        <x:v>Procurement data</x:v>
      </x:c>
      <x:c r="G446" t="str">
        <x:v>Closed</x:v>
      </x:c>
      <x:c r="H446" t="n">
        <x:v>7</x:v>
      </x:c>
      <x:c r="I446" t="n">
        <x:v>21</x:v>
      </x:c>
      <x:c r="J446" t="n">
        <x:v>1</x:v>
      </x:c>
      <x:c r="K446" t="n">
        <x:v>0</x:v>
      </x:c>
      <x:c r="L446" t="n">
        <x:v>0</x:v>
      </x:c>
    </x:row>
    <x:row r="447">
      <x:c r="A447" t="str">
        <x:v>GOV-0443</x:v>
      </x:c>
      <x:c r="B447" s="1" t="d">
        <x:v>2026-02-01T00:00:00.000Z</x:v>
      </x:c>
      <x:c r="C447" s="1" t="d">
        <x:v>2026-02-08T00:00:00.000Z</x:v>
      </x:c>
      <x:c r="D447" t="str">
        <x:v>Finance</x:v>
      </x:c>
      <x:c r="E447" t="str">
        <x:v>Low</x:v>
      </x:c>
      <x:c r="F447" t="str">
        <x:v>Finance data</x:v>
      </x:c>
      <x:c r="G447" t="str">
        <x:v>Closed</x:v>
      </x:c>
      <x:c r="H447" t="n">
        <x:v>14</x:v>
      </x:c>
      <x:c r="I447" t="n">
        <x:v>7</x:v>
      </x:c>
      <x:c r="J447" t="n">
        <x:v>1</x:v>
      </x:c>
      <x:c r="K447" t="n">
        <x:v>1</x:v>
      </x:c>
      <x:c r="L447" t="n">
        <x:v>0</x:v>
      </x:c>
    </x:row>
    <x:row r="448">
      <x:c r="A448" t="str">
        <x:v>GOV-0444</x:v>
      </x:c>
      <x:c r="B448" s="1" t="d">
        <x:v>2026-05-31T00:00:00.000Z</x:v>
      </x:c>
      <x:c r="C448" s="1" t="d">
        <x:v>2026-06-02T00:00:00.000Z</x:v>
      </x:c>
      <x:c r="D448" t="str">
        <x:v>Product</x:v>
      </x:c>
      <x:c r="E448" t="str">
        <x:v>Medium</x:v>
      </x:c>
      <x:c r="F448" t="str">
        <x:v>Product ops</x:v>
      </x:c>
      <x:c r="G448" t="str">
        <x:v>Closed</x:v>
      </x:c>
      <x:c r="H448" t="n">
        <x:v>7</x:v>
      </x:c>
      <x:c r="I448" t="n">
        <x:v>2</x:v>
      </x:c>
      <x:c r="J448" t="n">
        <x:v>1</x:v>
      </x:c>
      <x:c r="K448" t="n">
        <x:v>1</x:v>
      </x:c>
      <x:c r="L448" t="n">
        <x:v>0</x:v>
      </x:c>
    </x:row>
    <x:row r="449">
      <x:c r="A449" t="str">
        <x:v>GOV-0445</x:v>
      </x:c>
      <x:c r="B449" s="1" t="d">
        <x:v>2026-05-27T00:00:00.000Z</x:v>
      </x:c>
      <x:c r="C449" s="1" t="d">
        <x:v>2026-06-13T00:00:00.000Z</x:v>
      </x:c>
      <x:c r="D449" t="str">
        <x:v>Product</x:v>
      </x:c>
      <x:c r="E449" t="str">
        <x:v>Low</x:v>
      </x:c>
      <x:c r="F449" t="str">
        <x:v>Product ops</x:v>
      </x:c>
      <x:c r="G449" t="str">
        <x:v>Closed</x:v>
      </x:c>
      <x:c r="H449" t="n">
        <x:v>14</x:v>
      </x:c>
      <x:c r="I449" t="n">
        <x:v>17</x:v>
      </x:c>
      <x:c r="J449" t="n">
        <x:v>1</x:v>
      </x:c>
      <x:c r="K449" t="n">
        <x:v>0</x:v>
      </x:c>
      <x:c r="L449" t="n">
        <x:v>0</x:v>
      </x:c>
    </x:row>
    <x:row r="450">
      <x:c r="A450" t="str">
        <x:v>GOV-0446</x:v>
      </x:c>
      <x:c r="B450" s="1" t="d">
        <x:v>2026-04-19T00:00:00.000Z</x:v>
      </x:c>
      <x:c r="C450" s="1" t="d">
        <x:v>2026-05-06T00:00:00.000Z</x:v>
      </x:c>
      <x:c r="D450" t="str">
        <x:v>Customer</x:v>
      </x:c>
      <x:c r="E450" t="str">
        <x:v>Medium</x:v>
      </x:c>
      <x:c r="F450" t="str">
        <x:v>CRM stewardship</x:v>
      </x:c>
      <x:c r="G450" t="str">
        <x:v>Closed</x:v>
      </x:c>
      <x:c r="H450" t="n">
        <x:v>7</x:v>
      </x:c>
      <x:c r="I450" t="n">
        <x:v>17</x:v>
      </x:c>
      <x:c r="J450" t="n">
        <x:v>1</x:v>
      </x:c>
      <x:c r="K450" t="n">
        <x:v>0</x:v>
      </x:c>
      <x:c r="L450" t="n">
        <x:v>0</x:v>
      </x:c>
    </x:row>
    <x:row r="451">
      <x:c r="A451" t="str">
        <x:v>GOV-0447</x:v>
      </x:c>
      <x:c r="B451" s="1" t="d">
        <x:v>2026-01-12T00:00:00.000Z</x:v>
      </x:c>
      <x:c r="C451" s="1" t="d">
        <x:v>2026-01-16T00:00:00.000Z</x:v>
      </x:c>
      <x:c r="D451" t="str">
        <x:v>Product</x:v>
      </x:c>
      <x:c r="E451" t="str">
        <x:v>Medium</x:v>
      </x:c>
      <x:c r="F451" t="str">
        <x:v>Product ops</x:v>
      </x:c>
      <x:c r="G451" t="str">
        <x:v>Closed</x:v>
      </x:c>
      <x:c r="H451" t="n">
        <x:v>7</x:v>
      </x:c>
      <x:c r="I451" t="n">
        <x:v>4</x:v>
      </x:c>
      <x:c r="J451" t="n">
        <x:v>1</x:v>
      </x:c>
      <x:c r="K451" t="n">
        <x:v>1</x:v>
      </x:c>
      <x:c r="L451" t="n">
        <x:v>0</x:v>
      </x:c>
    </x:row>
    <x:row r="452">
      <x:c r="A452" t="str">
        <x:v>GOV-0448</x:v>
      </x:c>
      <x:c r="B452" s="1" t="d">
        <x:v>2026-01-03T00:00:00.000Z</x:v>
      </x:c>
      <x:c r="C452" s="1" t="d">
        <x:v>2026-01-06T00:00:00.000Z</x:v>
      </x:c>
      <x:c r="D452" t="str">
        <x:v>Finance</x:v>
      </x:c>
      <x:c r="E452" t="str">
        <x:v>High</x:v>
      </x:c>
      <x:c r="F452" t="str">
        <x:v>Finance data</x:v>
      </x:c>
      <x:c r="G452" t="str">
        <x:v>Closed</x:v>
      </x:c>
      <x:c r="H452" t="n">
        <x:v>3</x:v>
      </x:c>
      <x:c r="I452" t="n">
        <x:v>3</x:v>
      </x:c>
      <x:c r="J452" t="n">
        <x:v>1</x:v>
      </x:c>
      <x:c r="K452" t="n">
        <x:v>1</x:v>
      </x:c>
      <x:c r="L452" t="n">
        <x:v>0</x:v>
      </x:c>
    </x:row>
    <x:row r="453">
      <x:c r="A453" t="str">
        <x:v>GOV-0449</x:v>
      </x:c>
      <x:c r="B453" s="1" t="d">
        <x:v>2026-03-29T00:00:00.000Z</x:v>
      </x:c>
      <x:c r="C453" s="1" t="d">
        <x:v>2026-04-11T00:00:00.000Z</x:v>
      </x:c>
      <x:c r="D453" t="str">
        <x:v>Finance</x:v>
      </x:c>
      <x:c r="E453" t="str">
        <x:v>Medium</x:v>
      </x:c>
      <x:c r="F453" t="str">
        <x:v>Finance data</x:v>
      </x:c>
      <x:c r="G453" t="str">
        <x:v>Closed</x:v>
      </x:c>
      <x:c r="H453" t="n">
        <x:v>7</x:v>
      </x:c>
      <x:c r="I453" t="n">
        <x:v>13</x:v>
      </x:c>
      <x:c r="J453" t="n">
        <x:v>1</x:v>
      </x:c>
      <x:c r="K453" t="n">
        <x:v>0</x:v>
      </x:c>
      <x:c r="L453" t="n">
        <x:v>0</x:v>
      </x:c>
    </x:row>
    <x:row r="454">
      <x:c r="A454" t="str">
        <x:v>GOV-0450</x:v>
      </x:c>
      <x:c r="B454" s="1" t="d">
        <x:v>2026-04-07T00:00:00.000Z</x:v>
      </x:c>
      <x:c r="C454" s="1" t="d">
        <x:v>2026-04-14T00:00:00.000Z</x:v>
      </x:c>
      <x:c r="D454" t="str">
        <x:v>Finance</x:v>
      </x:c>
      <x:c r="E454" t="str">
        <x:v>Medium</x:v>
      </x:c>
      <x:c r="F454" t="str">
        <x:v>Finance data</x:v>
      </x:c>
      <x:c r="G454" t="str">
        <x:v>Closed</x:v>
      </x:c>
      <x:c r="H454" t="n">
        <x:v>7</x:v>
      </x:c>
      <x:c r="I454" t="n">
        <x:v>7</x:v>
      </x:c>
      <x:c r="J454" t="n">
        <x:v>1</x:v>
      </x:c>
      <x:c r="K454" t="n">
        <x:v>1</x:v>
      </x:c>
      <x:c r="L454" t="n">
        <x:v>0</x:v>
      </x:c>
    </x:row>
    <x:row r="455">
      <x:c r="A455" t="str">
        <x:v>GOV-0451</x:v>
      </x:c>
      <x:c r="B455" s="1" t="d">
        <x:v>2026-04-05T00:00:00.000Z</x:v>
      </x:c>
      <x:c r="C455" s="1" t="d">
        <x:v>2026-04-07T00:00:00.000Z</x:v>
      </x:c>
      <x:c r="D455" t="str">
        <x:v>Customer</x:v>
      </x:c>
      <x:c r="E455" t="str">
        <x:v>Low</x:v>
      </x:c>
      <x:c r="F455" t="str">
        <x:v>CRM stewardship</x:v>
      </x:c>
      <x:c r="G455" t="str">
        <x:v>Closed</x:v>
      </x:c>
      <x:c r="H455" t="n">
        <x:v>14</x:v>
      </x:c>
      <x:c r="I455" t="n">
        <x:v>2</x:v>
      </x:c>
      <x:c r="J455" t="n">
        <x:v>1</x:v>
      </x:c>
      <x:c r="K455" t="n">
        <x:v>1</x:v>
      </x:c>
      <x:c r="L455" t="n">
        <x:v>0</x:v>
      </x:c>
    </x:row>
    <x:row r="456">
      <x:c r="A456" t="str">
        <x:v>GOV-0452</x:v>
      </x:c>
      <x:c r="B456" s="1" t="d">
        <x:v>2026-03-26T00:00:00.000Z</x:v>
      </x:c>
      <x:c r="C456" s="1" t="d">
        <x:v>2026-04-08T00:00:00.000Z</x:v>
      </x:c>
      <x:c r="D456" t="str">
        <x:v>Finance</x:v>
      </x:c>
      <x:c r="E456" t="str">
        <x:v>Medium</x:v>
      </x:c>
      <x:c r="F456" t="str">
        <x:v>Finance data</x:v>
      </x:c>
      <x:c r="G456" t="str">
        <x:v>Closed</x:v>
      </x:c>
      <x:c r="H456" t="n">
        <x:v>7</x:v>
      </x:c>
      <x:c r="I456" t="n">
        <x:v>13</x:v>
      </x:c>
      <x:c r="J456" t="n">
        <x:v>1</x:v>
      </x:c>
      <x:c r="K456" t="n">
        <x:v>0</x:v>
      </x:c>
      <x:c r="L456" t="n">
        <x:v>0</x:v>
      </x:c>
    </x:row>
    <x:row r="457">
      <x:c r="A457" t="str">
        <x:v>GOV-0453</x:v>
      </x:c>
      <x:c r="B457" s="1" t="d">
        <x:v>2026-04-06T00:00:00.000Z</x:v>
      </x:c>
      <x:c r="C457" s="1"/>
      <x:c r="D457" t="str">
        <x:v>Customer</x:v>
      </x:c>
      <x:c r="E457" t="str">
        <x:v>Low</x:v>
      </x:c>
      <x:c r="F457" t="str">
        <x:v>CRM stewardship</x:v>
      </x:c>
      <x:c r="G457" t="str">
        <x:v>Open</x:v>
      </x:c>
      <x:c r="H457" t="n">
        <x:v>14</x:v>
      </x:c>
      <x:c r="I457" t="n">
        <x:v>85</x:v>
      </x:c>
      <x:c r="J457" t="n">
        <x:v>0</x:v>
      </x:c>
      <x:c r="K457" t="n">
        <x:v>0</x:v>
      </x:c>
      <x:c r="L457" t="n">
        <x:v>1</x:v>
      </x:c>
    </x:row>
    <x:row r="458">
      <x:c r="A458" t="str">
        <x:v>GOV-0454</x:v>
      </x:c>
      <x:c r="B458" s="1" t="d">
        <x:v>2026-02-05T00:00:00.000Z</x:v>
      </x:c>
      <x:c r="C458" s="1" t="d">
        <x:v>2026-02-09T00:00:00.000Z</x:v>
      </x:c>
      <x:c r="D458" t="str">
        <x:v>Customer</x:v>
      </x:c>
      <x:c r="E458" t="str">
        <x:v>Medium</x:v>
      </x:c>
      <x:c r="F458" t="str">
        <x:v>CRM stewardship</x:v>
      </x:c>
      <x:c r="G458" t="str">
        <x:v>Closed</x:v>
      </x:c>
      <x:c r="H458" t="n">
        <x:v>7</x:v>
      </x:c>
      <x:c r="I458" t="n">
        <x:v>4</x:v>
      </x:c>
      <x:c r="J458" t="n">
        <x:v>1</x:v>
      </x:c>
      <x:c r="K458" t="n">
        <x:v>1</x:v>
      </x:c>
      <x:c r="L458" t="n">
        <x:v>0</x:v>
      </x:c>
    </x:row>
    <x:row r="459">
      <x:c r="A459" t="str">
        <x:v>GOV-0455</x:v>
      </x:c>
      <x:c r="B459" s="1" t="d">
        <x:v>2026-05-20T00:00:00.000Z</x:v>
      </x:c>
      <x:c r="C459" s="1" t="d">
        <x:v>2026-06-02T00:00:00.000Z</x:v>
      </x:c>
      <x:c r="D459" t="str">
        <x:v>Product</x:v>
      </x:c>
      <x:c r="E459" t="str">
        <x:v>Low</x:v>
      </x:c>
      <x:c r="F459" t="str">
        <x:v>Product ops</x:v>
      </x:c>
      <x:c r="G459" t="str">
        <x:v>Closed</x:v>
      </x:c>
      <x:c r="H459" t="n">
        <x:v>14</x:v>
      </x:c>
      <x:c r="I459" t="n">
        <x:v>13</x:v>
      </x:c>
      <x:c r="J459" t="n">
        <x:v>1</x:v>
      </x:c>
      <x:c r="K459" t="n">
        <x:v>1</x:v>
      </x:c>
      <x:c r="L459" t="n">
        <x:v>0</x:v>
      </x:c>
    </x:row>
    <x:row r="460">
      <x:c r="A460" t="str">
        <x:v>GOV-0456</x:v>
      </x:c>
      <x:c r="B460" s="1" t="d">
        <x:v>2026-03-05T00:00:00.000Z</x:v>
      </x:c>
      <x:c r="C460" s="1" t="d">
        <x:v>2026-03-11T00:00:00.000Z</x:v>
      </x:c>
      <x:c r="D460" t="str">
        <x:v>Product</x:v>
      </x:c>
      <x:c r="E460" t="str">
        <x:v>Medium</x:v>
      </x:c>
      <x:c r="F460" t="str">
        <x:v>Product ops</x:v>
      </x:c>
      <x:c r="G460" t="str">
        <x:v>Closed</x:v>
      </x:c>
      <x:c r="H460" t="n">
        <x:v>7</x:v>
      </x:c>
      <x:c r="I460" t="n">
        <x:v>6</x:v>
      </x:c>
      <x:c r="J460" t="n">
        <x:v>1</x:v>
      </x:c>
      <x:c r="K460" t="n">
        <x:v>1</x:v>
      </x:c>
      <x:c r="L460" t="n">
        <x:v>0</x:v>
      </x:c>
    </x:row>
    <x:row r="461">
      <x:c r="A461" t="str">
        <x:v>GOV-0457</x:v>
      </x:c>
      <x:c r="B461" s="1" t="d">
        <x:v>2026-05-24T00:00:00.000Z</x:v>
      </x:c>
      <x:c r="C461" s="1" t="d">
        <x:v>2026-05-30T00:00:00.000Z</x:v>
      </x:c>
      <x:c r="D461" t="str">
        <x:v>Finance</x:v>
      </x:c>
      <x:c r="E461" t="str">
        <x:v>Medium</x:v>
      </x:c>
      <x:c r="F461" t="str">
        <x:v>Finance data</x:v>
      </x:c>
      <x:c r="G461" t="str">
        <x:v>Closed</x:v>
      </x:c>
      <x:c r="H461" t="n">
        <x:v>7</x:v>
      </x:c>
      <x:c r="I461" t="n">
        <x:v>6</x:v>
      </x:c>
      <x:c r="J461" t="n">
        <x:v>1</x:v>
      </x:c>
      <x:c r="K461" t="n">
        <x:v>1</x:v>
      </x:c>
      <x:c r="L461" t="n">
        <x:v>0</x:v>
      </x:c>
    </x:row>
    <x:row r="462">
      <x:c r="A462" t="str">
        <x:v>GOV-0458</x:v>
      </x:c>
      <x:c r="B462" s="1" t="d">
        <x:v>2026-01-14T00:00:00.000Z</x:v>
      </x:c>
      <x:c r="C462" s="1" t="d">
        <x:v>2026-01-30T00:00:00.000Z</x:v>
      </x:c>
      <x:c r="D462" t="str">
        <x:v>Finance</x:v>
      </x:c>
      <x:c r="E462" t="str">
        <x:v>Low</x:v>
      </x:c>
      <x:c r="F462" t="str">
        <x:v>Finance data</x:v>
      </x:c>
      <x:c r="G462" t="str">
        <x:v>Closed</x:v>
      </x:c>
      <x:c r="H462" t="n">
        <x:v>14</x:v>
      </x:c>
      <x:c r="I462" t="n">
        <x:v>16</x:v>
      </x:c>
      <x:c r="J462" t="n">
        <x:v>1</x:v>
      </x:c>
      <x:c r="K462" t="n">
        <x:v>0</x:v>
      </x:c>
      <x:c r="L462" t="n">
        <x:v>0</x:v>
      </x:c>
    </x:row>
    <x:row r="463">
      <x:c r="A463" t="str">
        <x:v>GOV-0459</x:v>
      </x:c>
      <x:c r="B463" s="1" t="d">
        <x:v>2026-01-17T00:00:00.000Z</x:v>
      </x:c>
      <x:c r="C463" s="1" t="d">
        <x:v>2026-02-03T00:00:00.000Z</x:v>
      </x:c>
      <x:c r="D463" t="str">
        <x:v>Customer</x:v>
      </x:c>
      <x:c r="E463" t="str">
        <x:v>Low</x:v>
      </x:c>
      <x:c r="F463" t="str">
        <x:v>CRM stewardship</x:v>
      </x:c>
      <x:c r="G463" t="str">
        <x:v>Closed</x:v>
      </x:c>
      <x:c r="H463" t="n">
        <x:v>14</x:v>
      </x:c>
      <x:c r="I463" t="n">
        <x:v>17</x:v>
      </x:c>
      <x:c r="J463" t="n">
        <x:v>1</x:v>
      </x:c>
      <x:c r="K463" t="n">
        <x:v>0</x:v>
      </x:c>
      <x:c r="L463" t="n">
        <x:v>0</x:v>
      </x:c>
    </x:row>
    <x:row r="464">
      <x:c r="A464" t="str">
        <x:v>GOV-0460</x:v>
      </x:c>
      <x:c r="B464" s="1" t="d">
        <x:v>2026-05-27T00:00:00.000Z</x:v>
      </x:c>
      <x:c r="C464" s="1" t="d">
        <x:v>2026-06-04T00:00:00.000Z</x:v>
      </x:c>
      <x:c r="D464" t="str">
        <x:v>Customer</x:v>
      </x:c>
      <x:c r="E464" t="str">
        <x:v>Medium</x:v>
      </x:c>
      <x:c r="F464" t="str">
        <x:v>CRM stewardship</x:v>
      </x:c>
      <x:c r="G464" t="str">
        <x:v>Closed</x:v>
      </x:c>
      <x:c r="H464" t="n">
        <x:v>7</x:v>
      </x:c>
      <x:c r="I464" t="n">
        <x:v>8</x:v>
      </x:c>
      <x:c r="J464" t="n">
        <x:v>1</x:v>
      </x:c>
      <x:c r="K464" t="n">
        <x:v>0</x:v>
      </x:c>
      <x:c r="L464" t="n">
        <x:v>0</x:v>
      </x:c>
    </x:row>
    <x:row r="465">
      <x:c r="A465" t="str">
        <x:v>GOV-0461</x:v>
      </x:c>
      <x:c r="B465" s="1" t="d">
        <x:v>2026-04-20T00:00:00.000Z</x:v>
      </x:c>
      <x:c r="C465" s="1" t="d">
        <x:v>2026-04-29T00:00:00.000Z</x:v>
      </x:c>
      <x:c r="D465" t="str">
        <x:v>Product</x:v>
      </x:c>
      <x:c r="E465" t="str">
        <x:v>Medium</x:v>
      </x:c>
      <x:c r="F465" t="str">
        <x:v>Product ops</x:v>
      </x:c>
      <x:c r="G465" t="str">
        <x:v>Closed</x:v>
      </x:c>
      <x:c r="H465" t="n">
        <x:v>7</x:v>
      </x:c>
      <x:c r="I465" t="n">
        <x:v>9</x:v>
      </x:c>
      <x:c r="J465" t="n">
        <x:v>1</x:v>
      </x:c>
      <x:c r="K465" t="n">
        <x:v>0</x:v>
      </x:c>
      <x:c r="L465" t="n">
        <x:v>0</x:v>
      </x:c>
    </x:row>
    <x:row r="466">
      <x:c r="A466" t="str">
        <x:v>GOV-0462</x:v>
      </x:c>
      <x:c r="B466" s="1" t="d">
        <x:v>2026-05-04T00:00:00.000Z</x:v>
      </x:c>
      <x:c r="C466" s="1" t="d">
        <x:v>2026-05-13T00:00:00.000Z</x:v>
      </x:c>
      <x:c r="D466" t="str">
        <x:v>Product</x:v>
      </x:c>
      <x:c r="E466" t="str">
        <x:v>Medium</x:v>
      </x:c>
      <x:c r="F466" t="str">
        <x:v>Product ops</x:v>
      </x:c>
      <x:c r="G466" t="str">
        <x:v>Closed</x:v>
      </x:c>
      <x:c r="H466" t="n">
        <x:v>7</x:v>
      </x:c>
      <x:c r="I466" t="n">
        <x:v>9</x:v>
      </x:c>
      <x:c r="J466" t="n">
        <x:v>1</x:v>
      </x:c>
      <x:c r="K466" t="n">
        <x:v>0</x:v>
      </x:c>
      <x:c r="L466" t="n">
        <x:v>0</x:v>
      </x:c>
    </x:row>
    <x:row r="467">
      <x:c r="A467" t="str">
        <x:v>GOV-0463</x:v>
      </x:c>
      <x:c r="B467" s="1" t="d">
        <x:v>2026-06-01T00:00:00.000Z</x:v>
      </x:c>
      <x:c r="C467" s="1" t="d">
        <x:v>2026-06-21T00:00:00.000Z</x:v>
      </x:c>
      <x:c r="D467" t="str">
        <x:v>Product</x:v>
      </x:c>
      <x:c r="E467" t="str">
        <x:v>Medium</x:v>
      </x:c>
      <x:c r="F467" t="str">
        <x:v>Product ops</x:v>
      </x:c>
      <x:c r="G467" t="str">
        <x:v>Closed</x:v>
      </x:c>
      <x:c r="H467" t="n">
        <x:v>7</x:v>
      </x:c>
      <x:c r="I467" t="n">
        <x:v>20</x:v>
      </x:c>
      <x:c r="J467" t="n">
        <x:v>1</x:v>
      </x:c>
      <x:c r="K467" t="n">
        <x:v>0</x:v>
      </x:c>
      <x:c r="L467" t="n">
        <x:v>0</x:v>
      </x:c>
    </x:row>
    <x:row r="468">
      <x:c r="A468" t="str">
        <x:v>GOV-0464</x:v>
      </x:c>
      <x:c r="B468" s="1" t="d">
        <x:v>2026-05-08T00:00:00.000Z</x:v>
      </x:c>
      <x:c r="C468" s="1" t="d">
        <x:v>2026-05-21T00:00:00.000Z</x:v>
      </x:c>
      <x:c r="D468" t="str">
        <x:v>Customer</x:v>
      </x:c>
      <x:c r="E468" t="str">
        <x:v>Medium</x:v>
      </x:c>
      <x:c r="F468" t="str">
        <x:v>CRM stewardship</x:v>
      </x:c>
      <x:c r="G468" t="str">
        <x:v>Closed</x:v>
      </x:c>
      <x:c r="H468" t="n">
        <x:v>7</x:v>
      </x:c>
      <x:c r="I468" t="n">
        <x:v>13</x:v>
      </x:c>
      <x:c r="J468" t="n">
        <x:v>1</x:v>
      </x:c>
      <x:c r="K468" t="n">
        <x:v>0</x:v>
      </x:c>
      <x:c r="L468" t="n">
        <x:v>0</x:v>
      </x:c>
    </x:row>
    <x:row r="469">
      <x:c r="A469" t="str">
        <x:v>GOV-0465</x:v>
      </x:c>
      <x:c r="B469" s="1" t="d">
        <x:v>2026-04-10T00:00:00.000Z</x:v>
      </x:c>
      <x:c r="C469" s="1" t="d">
        <x:v>2026-05-02T00:00:00.000Z</x:v>
      </x:c>
      <x:c r="D469" t="str">
        <x:v>Supplier</x:v>
      </x:c>
      <x:c r="E469" t="str">
        <x:v>Medium</x:v>
      </x:c>
      <x:c r="F469" t="str">
        <x:v>Procurement data</x:v>
      </x:c>
      <x:c r="G469" t="str">
        <x:v>Closed</x:v>
      </x:c>
      <x:c r="H469" t="n">
        <x:v>7</x:v>
      </x:c>
      <x:c r="I469" t="n">
        <x:v>22</x:v>
      </x:c>
      <x:c r="J469" t="n">
        <x:v>1</x:v>
      </x:c>
      <x:c r="K469" t="n">
        <x:v>0</x:v>
      </x:c>
      <x:c r="L469" t="n">
        <x:v>0</x:v>
      </x:c>
    </x:row>
    <x:row r="470">
      <x:c r="A470" t="str">
        <x:v>GOV-0466</x:v>
      </x:c>
      <x:c r="B470" s="1" t="d">
        <x:v>2026-02-22T00:00:00.000Z</x:v>
      </x:c>
      <x:c r="C470" s="1" t="d">
        <x:v>2026-03-15T00:00:00.000Z</x:v>
      </x:c>
      <x:c r="D470" t="str">
        <x:v>Supplier</x:v>
      </x:c>
      <x:c r="E470" t="str">
        <x:v>Medium</x:v>
      </x:c>
      <x:c r="F470" t="str">
        <x:v>Procurement data</x:v>
      </x:c>
      <x:c r="G470" t="str">
        <x:v>Closed</x:v>
      </x:c>
      <x:c r="H470" t="n">
        <x:v>7</x:v>
      </x:c>
      <x:c r="I470" t="n">
        <x:v>21</x:v>
      </x:c>
      <x:c r="J470" t="n">
        <x:v>1</x:v>
      </x:c>
      <x:c r="K470" t="n">
        <x:v>0</x:v>
      </x:c>
      <x:c r="L470" t="n">
        <x:v>0</x:v>
      </x:c>
    </x:row>
    <x:row r="471">
      <x:c r="A471" t="str">
        <x:v>GOV-0467</x:v>
      </x:c>
      <x:c r="B471" s="1" t="d">
        <x:v>2026-05-27T00:00:00.000Z</x:v>
      </x:c>
      <x:c r="C471" s="1" t="d">
        <x:v>2026-06-06T00:00:00.000Z</x:v>
      </x:c>
      <x:c r="D471" t="str">
        <x:v>Supplier</x:v>
      </x:c>
      <x:c r="E471" t="str">
        <x:v>High</x:v>
      </x:c>
      <x:c r="F471" t="str">
        <x:v>Procurement data</x:v>
      </x:c>
      <x:c r="G471" t="str">
        <x:v>Closed</x:v>
      </x:c>
      <x:c r="H471" t="n">
        <x:v>3</x:v>
      </x:c>
      <x:c r="I471" t="n">
        <x:v>10</x:v>
      </x:c>
      <x:c r="J471" t="n">
        <x:v>1</x:v>
      </x:c>
      <x:c r="K471" t="n">
        <x:v>0</x:v>
      </x:c>
      <x:c r="L471" t="n">
        <x:v>0</x:v>
      </x:c>
    </x:row>
    <x:row r="472">
      <x:c r="A472" t="str">
        <x:v>GOV-0468</x:v>
      </x:c>
      <x:c r="B472" s="1" t="d">
        <x:v>2026-06-11T00:00:00.000Z</x:v>
      </x:c>
      <x:c r="C472" s="1" t="d">
        <x:v>2026-06-26T00:00:00.000Z</x:v>
      </x:c>
      <x:c r="D472" t="str">
        <x:v>Product</x:v>
      </x:c>
      <x:c r="E472" t="str">
        <x:v>Medium</x:v>
      </x:c>
      <x:c r="F472" t="str">
        <x:v>Product ops</x:v>
      </x:c>
      <x:c r="G472" t="str">
        <x:v>Closed</x:v>
      </x:c>
      <x:c r="H472" t="n">
        <x:v>7</x:v>
      </x:c>
      <x:c r="I472" t="n">
        <x:v>15</x:v>
      </x:c>
      <x:c r="J472" t="n">
        <x:v>1</x:v>
      </x:c>
      <x:c r="K472" t="n">
        <x:v>0</x:v>
      </x:c>
      <x:c r="L472" t="n">
        <x:v>0</x:v>
      </x:c>
    </x:row>
    <x:row r="473">
      <x:c r="A473" t="str">
        <x:v>GOV-0469</x:v>
      </x:c>
      <x:c r="B473" s="1" t="d">
        <x:v>2026-03-21T00:00:00.000Z</x:v>
      </x:c>
      <x:c r="C473" s="1" t="d">
        <x:v>2026-03-24T00:00:00.000Z</x:v>
      </x:c>
      <x:c r="D473" t="str">
        <x:v>Product</x:v>
      </x:c>
      <x:c r="E473" t="str">
        <x:v>Medium</x:v>
      </x:c>
      <x:c r="F473" t="str">
        <x:v>Product ops</x:v>
      </x:c>
      <x:c r="G473" t="str">
        <x:v>Closed</x:v>
      </x:c>
      <x:c r="H473" t="n">
        <x:v>7</x:v>
      </x:c>
      <x:c r="I473" t="n">
        <x:v>3</x:v>
      </x:c>
      <x:c r="J473" t="n">
        <x:v>1</x:v>
      </x:c>
      <x:c r="K473" t="n">
        <x:v>1</x:v>
      </x:c>
      <x:c r="L473" t="n">
        <x:v>0</x:v>
      </x:c>
    </x:row>
    <x:row r="474">
      <x:c r="A474" t="str">
        <x:v>GOV-0470</x:v>
      </x:c>
      <x:c r="B474" s="1" t="d">
        <x:v>2026-03-19T00:00:00.000Z</x:v>
      </x:c>
      <x:c r="C474" s="1" t="d">
        <x:v>2026-04-07T00:00:00.000Z</x:v>
      </x:c>
      <x:c r="D474" t="str">
        <x:v>Product</x:v>
      </x:c>
      <x:c r="E474" t="str">
        <x:v>Medium</x:v>
      </x:c>
      <x:c r="F474" t="str">
        <x:v>Product ops</x:v>
      </x:c>
      <x:c r="G474" t="str">
        <x:v>Closed</x:v>
      </x:c>
      <x:c r="H474" t="n">
        <x:v>7</x:v>
      </x:c>
      <x:c r="I474" t="n">
        <x:v>19</x:v>
      </x:c>
      <x:c r="J474" t="n">
        <x:v>1</x:v>
      </x:c>
      <x:c r="K474" t="n">
        <x:v>0</x:v>
      </x:c>
      <x:c r="L474" t="n">
        <x:v>0</x:v>
      </x:c>
    </x:row>
    <x:row r="475">
      <x:c r="A475" t="str">
        <x:v>GOV-0471</x:v>
      </x:c>
      <x:c r="B475" s="1" t="d">
        <x:v>2026-02-16T00:00:00.000Z</x:v>
      </x:c>
      <x:c r="C475" s="1"/>
      <x:c r="D475" t="str">
        <x:v>Finance</x:v>
      </x:c>
      <x:c r="E475" t="str">
        <x:v>Low</x:v>
      </x:c>
      <x:c r="F475" t="str">
        <x:v>Finance data</x:v>
      </x:c>
      <x:c r="G475" t="str">
        <x:v>Open</x:v>
      </x:c>
      <x:c r="H475" t="n">
        <x:v>14</x:v>
      </x:c>
      <x:c r="I475" t="n">
        <x:v>134</x:v>
      </x:c>
      <x:c r="J475" t="n">
        <x:v>0</x:v>
      </x:c>
      <x:c r="K475" t="n">
        <x:v>0</x:v>
      </x:c>
      <x:c r="L475" t="n">
        <x:v>1</x:v>
      </x:c>
    </x:row>
    <x:row r="476">
      <x:c r="A476" t="str">
        <x:v>GOV-0472</x:v>
      </x:c>
      <x:c r="B476" s="1" t="d">
        <x:v>2026-04-27T00:00:00.000Z</x:v>
      </x:c>
      <x:c r="C476" s="1" t="d">
        <x:v>2026-05-06T00:00:00.000Z</x:v>
      </x:c>
      <x:c r="D476" t="str">
        <x:v>Supplier</x:v>
      </x:c>
      <x:c r="E476" t="str">
        <x:v>High</x:v>
      </x:c>
      <x:c r="F476" t="str">
        <x:v>Procurement data</x:v>
      </x:c>
      <x:c r="G476" t="str">
        <x:v>Closed</x:v>
      </x:c>
      <x:c r="H476" t="n">
        <x:v>3</x:v>
      </x:c>
      <x:c r="I476" t="n">
        <x:v>9</x:v>
      </x:c>
      <x:c r="J476" t="n">
        <x:v>1</x:v>
      </x:c>
      <x:c r="K476" t="n">
        <x:v>0</x:v>
      </x:c>
      <x:c r="L476" t="n">
        <x:v>0</x:v>
      </x:c>
    </x:row>
    <x:row r="477">
      <x:c r="A477" t="str">
        <x:v>GOV-0473</x:v>
      </x:c>
      <x:c r="B477" s="1" t="d">
        <x:v>2026-04-21T00:00:00.000Z</x:v>
      </x:c>
      <x:c r="C477" s="1"/>
      <x:c r="D477" t="str">
        <x:v>Supplier</x:v>
      </x:c>
      <x:c r="E477" t="str">
        <x:v>Medium</x:v>
      </x:c>
      <x:c r="F477" t="str">
        <x:v>Procurement data</x:v>
      </x:c>
      <x:c r="G477" t="str">
        <x:v>Open</x:v>
      </x:c>
      <x:c r="H477" t="n">
        <x:v>7</x:v>
      </x:c>
      <x:c r="I477" t="n">
        <x:v>70</x:v>
      </x:c>
      <x:c r="J477" t="n">
        <x:v>0</x:v>
      </x:c>
      <x:c r="K477" t="n">
        <x:v>0</x:v>
      </x:c>
      <x:c r="L477" t="n">
        <x:v>1</x:v>
      </x:c>
    </x:row>
    <x:row r="478">
      <x:c r="A478" t="str">
        <x:v>GOV-0474</x:v>
      </x:c>
      <x:c r="B478" s="1" t="d">
        <x:v>2026-04-22T00:00:00.000Z</x:v>
      </x:c>
      <x:c r="C478" s="1" t="d">
        <x:v>2026-04-27T00:00:00.000Z</x:v>
      </x:c>
      <x:c r="D478" t="str">
        <x:v>Finance</x:v>
      </x:c>
      <x:c r="E478" t="str">
        <x:v>Medium</x:v>
      </x:c>
      <x:c r="F478" t="str">
        <x:v>Finance data</x:v>
      </x:c>
      <x:c r="G478" t="str">
        <x:v>Closed</x:v>
      </x:c>
      <x:c r="H478" t="n">
        <x:v>7</x:v>
      </x:c>
      <x:c r="I478" t="n">
        <x:v>5</x:v>
      </x:c>
      <x:c r="J478" t="n">
        <x:v>1</x:v>
      </x:c>
      <x:c r="K478" t="n">
        <x:v>1</x:v>
      </x:c>
      <x:c r="L478" t="n">
        <x:v>0</x:v>
      </x:c>
    </x:row>
    <x:row r="479">
      <x:c r="A479" t="str">
        <x:v>GOV-0475</x:v>
      </x:c>
      <x:c r="B479" s="1" t="d">
        <x:v>2026-02-16T00:00:00.000Z</x:v>
      </x:c>
      <x:c r="C479" s="1" t="d">
        <x:v>2026-03-07T00:00:00.000Z</x:v>
      </x:c>
      <x:c r="D479" t="str">
        <x:v>Product</x:v>
      </x:c>
      <x:c r="E479" t="str">
        <x:v>High</x:v>
      </x:c>
      <x:c r="F479" t="str">
        <x:v>Product ops</x:v>
      </x:c>
      <x:c r="G479" t="str">
        <x:v>Closed</x:v>
      </x:c>
      <x:c r="H479" t="n">
        <x:v>3</x:v>
      </x:c>
      <x:c r="I479" t="n">
        <x:v>19</x:v>
      </x:c>
      <x:c r="J479" t="n">
        <x:v>1</x:v>
      </x:c>
      <x:c r="K479" t="n">
        <x:v>0</x:v>
      </x:c>
      <x:c r="L479" t="n">
        <x:v>0</x:v>
      </x:c>
    </x:row>
    <x:row r="480">
      <x:c r="A480" t="str">
        <x:v>GOV-0476</x:v>
      </x:c>
      <x:c r="B480" s="1" t="d">
        <x:v>2026-01-18T00:00:00.000Z</x:v>
      </x:c>
      <x:c r="C480" s="1"/>
      <x:c r="D480" t="str">
        <x:v>Finance</x:v>
      </x:c>
      <x:c r="E480" t="str">
        <x:v>Low</x:v>
      </x:c>
      <x:c r="F480" t="str">
        <x:v>Finance data</x:v>
      </x:c>
      <x:c r="G480" t="str">
        <x:v>Open</x:v>
      </x:c>
      <x:c r="H480" t="n">
        <x:v>14</x:v>
      </x:c>
      <x:c r="I480" t="n">
        <x:v>163</x:v>
      </x:c>
      <x:c r="J480" t="n">
        <x:v>0</x:v>
      </x:c>
      <x:c r="K480" t="n">
        <x:v>0</x:v>
      </x:c>
      <x:c r="L480" t="n">
        <x:v>1</x:v>
      </x:c>
    </x:row>
    <x:row r="481">
      <x:c r="A481" t="str">
        <x:v>GOV-0477</x:v>
      </x:c>
      <x:c r="B481" s="1" t="d">
        <x:v>2026-04-07T00:00:00.000Z</x:v>
      </x:c>
      <x:c r="C481" s="1" t="d">
        <x:v>2026-04-11T00:00:00.000Z</x:v>
      </x:c>
      <x:c r="D481" t="str">
        <x:v>Product</x:v>
      </x:c>
      <x:c r="E481" t="str">
        <x:v>High</x:v>
      </x:c>
      <x:c r="F481" t="str">
        <x:v>Product ops</x:v>
      </x:c>
      <x:c r="G481" t="str">
        <x:v>Closed</x:v>
      </x:c>
      <x:c r="H481" t="n">
        <x:v>3</x:v>
      </x:c>
      <x:c r="I481" t="n">
        <x:v>4</x:v>
      </x:c>
      <x:c r="J481" t="n">
        <x:v>1</x:v>
      </x:c>
      <x:c r="K481" t="n">
        <x:v>0</x:v>
      </x:c>
      <x:c r="L481" t="n">
        <x:v>0</x:v>
      </x:c>
    </x:row>
    <x:row r="482">
      <x:c r="A482" t="str">
        <x:v>GOV-0478</x:v>
      </x:c>
      <x:c r="B482" s="1" t="d">
        <x:v>2026-06-01T00:00:00.000Z</x:v>
      </x:c>
      <x:c r="C482" s="1"/>
      <x:c r="D482" t="str">
        <x:v>Product</x:v>
      </x:c>
      <x:c r="E482" t="str">
        <x:v>Low</x:v>
      </x:c>
      <x:c r="F482" t="str">
        <x:v>Product ops</x:v>
      </x:c>
      <x:c r="G482" t="str">
        <x:v>Open</x:v>
      </x:c>
      <x:c r="H482" t="n">
        <x:v>14</x:v>
      </x:c>
      <x:c r="I482" t="n">
        <x:v>29</x:v>
      </x:c>
      <x:c r="J482" t="n">
        <x:v>0</x:v>
      </x:c>
      <x:c r="K482" t="n">
        <x:v>0</x:v>
      </x:c>
      <x:c r="L482" t="n">
        <x:v>1</x:v>
      </x:c>
    </x:row>
    <x:row r="483">
      <x:c r="A483" t="str">
        <x:v>GOV-0479</x:v>
      </x:c>
      <x:c r="B483" s="1" t="d">
        <x:v>2026-05-02T00:00:00.000Z</x:v>
      </x:c>
      <x:c r="C483" s="1" t="d">
        <x:v>2026-05-12T00:00:00.000Z</x:v>
      </x:c>
      <x:c r="D483" t="str">
        <x:v>Product</x:v>
      </x:c>
      <x:c r="E483" t="str">
        <x:v>High</x:v>
      </x:c>
      <x:c r="F483" t="str">
        <x:v>Product ops</x:v>
      </x:c>
      <x:c r="G483" t="str">
        <x:v>Closed</x:v>
      </x:c>
      <x:c r="H483" t="n">
        <x:v>3</x:v>
      </x:c>
      <x:c r="I483" t="n">
        <x:v>10</x:v>
      </x:c>
      <x:c r="J483" t="n">
        <x:v>1</x:v>
      </x:c>
      <x:c r="K483" t="n">
        <x:v>0</x:v>
      </x:c>
      <x:c r="L483" t="n">
        <x:v>0</x:v>
      </x:c>
    </x:row>
    <x:row r="484">
      <x:c r="A484" t="str">
        <x:v>GOV-0480</x:v>
      </x:c>
      <x:c r="B484" s="1" t="d">
        <x:v>2026-01-01T00:00:00.000Z</x:v>
      </x:c>
      <x:c r="C484" s="1" t="d">
        <x:v>2026-01-21T00:00:00.000Z</x:v>
      </x:c>
      <x:c r="D484" t="str">
        <x:v>Product</x:v>
      </x:c>
      <x:c r="E484" t="str">
        <x:v>Medium</x:v>
      </x:c>
      <x:c r="F484" t="str">
        <x:v>Product ops</x:v>
      </x:c>
      <x:c r="G484" t="str">
        <x:v>Closed</x:v>
      </x:c>
      <x:c r="H484" t="n">
        <x:v>7</x:v>
      </x:c>
      <x:c r="I484" t="n">
        <x:v>20</x:v>
      </x:c>
      <x:c r="J484" t="n">
        <x:v>1</x:v>
      </x:c>
      <x:c r="K484" t="n">
        <x:v>0</x:v>
      </x:c>
      <x:c r="L484" t="n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52c73c69b5d4cda"/>
  </x:tableParts>
</x:worksheet>
</file>